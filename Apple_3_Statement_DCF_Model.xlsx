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 Statement" sheetId="5" state="visible" r:id="rId7"/>
    <sheet name="UFCF" sheetId="6" state="visible" r:id="rId8"/>
    <sheet name="DCF" sheetId="7" state="visible" r:id="rId9"/>
    <sheet name="WACC" sheetId="8" state="visible" r:id="rId10"/>
    <sheet name="Sensitivity Analysis" sheetId="9" state="visible" r:id="rId11"/>
    <sheet name="Valuation 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<sst xmlns="http://schemas.openxmlformats.org/spreadsheetml/2006/main" count="435" uniqueCount="349">
  <si>
    <t xml:space="preserve">Apple Inc. (NASDAQ: AAPL)</t>
  </si>
  <si>
    <t xml:space="preserve">3-Statement Financial Model &amp; DCF Valuation</t>
  </si>
  <si>
    <t xml:space="preserve">Model date: September 21, 2026 | Price date: Sep 18, 2026 close | $ in billions unless noted | Fiscal year ends last Saturday of September</t>
  </si>
  <si>
    <t xml:space="preserve">Tab</t>
  </si>
  <si>
    <t xml:space="preserve">What it does</t>
  </si>
  <si>
    <t xml:space="preserve">Assumptions</t>
  </si>
  <si>
    <t xml:space="preserve">Every forecast driver in one place (blue = input), with the rationale for each. Market inputs for the DCF.</t>
  </si>
  <si>
    <t xml:space="preserve">Income Statement</t>
  </si>
  <si>
    <t xml:space="preserve">Revenue → Gross profit → EBIT → Net income. FY2022A–FY2025A actuals; FY2026E–FY2031E forecast.</t>
  </si>
  <si>
    <t xml:space="preserve">Balance Sheet</t>
  </si>
  <si>
    <t xml:space="preserve">Simplified balance sheet. Balances every year (check row = 0). Memo: NWC and change in NWC.</t>
  </si>
  <si>
    <t xml:space="preserve">Cash Flow Statement</t>
  </si>
  <si>
    <t xml:space="preserve">Net income + non-cash items − ΔNWC − CapEx ± financing = change in cash → ending cash links to the Balance Sheet.</t>
  </si>
  <si>
    <t xml:space="preserve">UFCF</t>
  </si>
  <si>
    <t xml:space="preserve">EBIT × (1 − t) + D&amp;A − CapEx − ΔNWC for FY2027E–FY2031E.</t>
  </si>
  <si>
    <t xml:space="preserve">DCF</t>
  </si>
  <si>
    <t xml:space="preserve">Discount UFCF at WACC, Gordon Growth terminal value, EV → Equity value → implied share price, reverse DCF.</t>
  </si>
  <si>
    <t xml:space="preserve">WACC</t>
  </si>
  <si>
    <t xml:space="preserve">CAPM cost of equity, after-tax cost of debt, market-value weights.</t>
  </si>
  <si>
    <t xml:space="preserve">Sensitivity Analysis</t>
  </si>
  <si>
    <t xml:space="preserve">Implied share price across WACC (8.5%–10.5%) and terminal growth (2.0%–4.0%).</t>
  </si>
  <si>
    <t xml:space="preserve">Valuation Summary</t>
  </si>
  <si>
    <t xml:space="preserve">One-page output and interpretation.</t>
  </si>
  <si>
    <t xml:space="preserve">Colour code</t>
  </si>
  <si>
    <t xml:space="preserve">1,234.5</t>
  </si>
  <si>
    <t xml:space="preserve">Blue = hard-coded input (historical data or forecast assumption)</t>
  </si>
  <si>
    <t xml:space="preserve">Black = formula on the same sheet</t>
  </si>
  <si>
    <t xml:space="preserve">Green = link to another sheet</t>
  </si>
  <si>
    <t xml:space="preserve">Yellow fill = key assumption / key output</t>
  </si>
  <si>
    <t xml:space="preserve">Key conventions</t>
  </si>
  <si>
    <t xml:space="preserve">• Historical period FY2022–FY2025 from Apple's audited results (Q4 earnings releases / Form 10-K). FY2026E combines 9 months reported (to Jun 27, 2026) with Q4 guidance.</t>
  </si>
  <si>
    <t xml:space="preserve">• Valuation date ≈ FY2026 year-end (Sep 26, 2026, five days after the model date). The five DCF years are FY2027E–FY2031E, discounted t = 1…5 (end-of-year convention).</t>
  </si>
  <si>
    <t xml:space="preserve">• 'Cash' = cash &amp; equivalents + current and non-current marketable securities. The EV → Equity bridge uses the latest reported balance sheet (Jun 27, 2026).</t>
  </si>
  <si>
    <t xml:space="preserve">• Share-based compensation is added back in operating cash flow (it is non-cash) but NOT in UFCF (conservative: it is a real cost to shareholders via dilution).</t>
  </si>
  <si>
    <t xml:space="preserve">• Other non-current assets and liabilities are held flat; no circular interest calculation. Checks: Balance Sheet balances and CFS cash = BS cash in every forecast year.</t>
  </si>
  <si>
    <t xml:space="preserve">Sources</t>
  </si>
  <si>
    <t xml:space="preserve">Apple FY2025 Q4 financial statements: https://www.apple.com/newsroom/pdfs/fy2025-q4/FY25_Q4_Consolidated_Financial_Statements.pdf</t>
  </si>
  <si>
    <t xml:space="preserve">Apple FY2023 Q4 financial statements (FY2022–FY2023): https://www.apple.com/newsroom/pdfs/fy2023-q4/FY23_Q4_Consolidated_Financial_Statements.pdf</t>
  </si>
  <si>
    <t xml:space="preserve">Apple FY2026 Q3 financial statements: https://www.apple.com/newsroom/pdfs/fy2026q3/FY26_Q3_Consolidated_Financial_Statements.pdf</t>
  </si>
  <si>
    <t xml:space="preserve">Q4 FY2026 guidance (revenue +9–11% YoY, GM 47–48%): Apple Q3 FY26 earnings call, Jul 30, 2026 (via Investing.com / CNBC coverage)</t>
  </si>
  <si>
    <t xml:space="preserve">10-yr Treasury: US Treasury / FRED DGS10 (~5.0%, Sep 18–21, 2026). ERP: Damodaran implied ERP, Jan 2026 (4.23%). Share price: Yahoo Finance, Sep 18, 2026 close.</t>
  </si>
  <si>
    <t xml:space="preserve">Apple Inc. (AAPL) — Assumptions</t>
  </si>
  <si>
    <t xml:space="preserve">Historical columns are calculated from the statements (black/green). Forecast columns are inputs (blue, yellow = key driver). Change the blue cells only.</t>
  </si>
  <si>
    <t xml:space="preserve">Historical — SEC filings</t>
  </si>
  <si>
    <t xml:space="preserve">Current yr est.</t>
  </si>
  <si>
    <t xml:space="preserve">Forecast (DCF years 1–5)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</si>
  <si>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</si>
  <si>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</si>
  <si>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</si>
  <si>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</si>
  <si>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</si>
  <si>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</si>
  <si>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</si>
  <si>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</si>
  <si>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</si>
  <si>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</si>
  <si>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Notes / rationale / source</t>
  </si>
  <si>
    <t xml:space="preserve">Revenue &amp; margins</t>
  </si>
  <si>
    <t xml:space="preserve">Revenue growth</t>
  </si>
  <si>
    <t xml:space="preserve">FY26E: 9M reported $364.4B (+16%) + Q4 guided +9–11% YoY → ~14.6%. FY27E drops to 6% (tough comp after iPhone 17 cycle; consensus single-digit). Then fades toward 3% terminal as hardware matures.</t>
  </si>
  <si>
    <t xml:space="preserve">Gross margin</t>
  </si>
  <si>
    <t xml:space="preserve">FY26E: 9M 49.1% (incl. tariff refunds) + Q4 guide 47–48%. FY27E resets to 47.5% (no refunds, memory costs). Then +25bp/yr from Services mix (Services GM ~75% vs Products ~37% in FY25).</t>
  </si>
  <si>
    <t xml:space="preserve">R&amp;D % of revenue</t>
  </si>
  <si>
    <t xml:space="preserve">Rising with AI investment: 6.7% (FY22) → 8.3% (FY25) → 9.3% (9M FY26). Held at 9.6%.</t>
  </si>
  <si>
    <t xml:space="preserve">SG&amp;A % of revenue</t>
  </si>
  <si>
    <t xml:space="preserve">Stable ~6–7%. 9M FY26 was 6.1%; operating leverage keeps it ~6.2%.</t>
  </si>
  <si>
    <t xml:space="preserve">EBIT margin (memo = GM − R&amp;D% − SG&amp;A%)</t>
  </si>
  <si>
    <t xml:space="preserve">Output, not an input: margin expands only slowly (~25bp/yr) via mix.</t>
  </si>
  <si>
    <t xml:space="preserve">Other income / (expense), net ($B)</t>
  </si>
  <si>
    <t xml:space="preserve">FY26E: 9M actual +$0.67B. Forecast $0: interest income ≈ interest expense for Apple; avoids a circular interest calculation.</t>
  </si>
  <si>
    <t xml:space="preserve">Effective tax rate</t>
  </si>
  <si>
    <t xml:space="preserve">FY25 15.6% (FY24 inflated by one-time EU charge). 9M FY26 17.6%. 17% long-term (global minimum tax).</t>
  </si>
  <si>
    <t xml:space="preserve">Cash flow drivers (% of revenue)</t>
  </si>
  <si>
    <t xml:space="preserve">D&amp;A % of revenue</t>
  </si>
  <si>
    <t xml:space="preserve">Historically 2.7–3.0%. 9M FY26 2.7%.</t>
  </si>
  <si>
    <t xml:space="preserve">CapEx % of revenue</t>
  </si>
  <si>
    <t xml:space="preserve">9M FY26 only 1.9%; FY26E 2.3%. 3.0% thereafter for AI / Private Cloud Compute servers &amp; data centers — above D&amp;A so PP&amp;E grows.</t>
  </si>
  <si>
    <t xml:space="preserve">Share-based comp % of revenue</t>
  </si>
  <si>
    <t xml:space="preserve">~3% of revenue. Non-cash add-back in CFO; treated as a real cost in UFCF (not added back).</t>
  </si>
  <si>
    <t xml:space="preserve">Working capital (% of revenue, year-end)</t>
  </si>
  <si>
    <t xml:space="preserve">Accounts receivable</t>
  </si>
  <si>
    <t xml:space="preserve">All WC ratios held at FY2025 levels (latest year; avoids an artificial one-time cash swing).</t>
  </si>
  <si>
    <t xml:space="preserve">Inventory</t>
  </si>
  <si>
    <t xml:space="preserve">Other current assets</t>
  </si>
  <si>
    <t xml:space="preserve">Accounts payable</t>
  </si>
  <si>
    <t xml:space="preserve">Other current liabilities</t>
  </si>
  <si>
    <t xml:space="preserve">NWC % of revenue (memo)</t>
  </si>
  <si>
    <t xml:space="preserve">Negative: Apple collects from customers before it pays suppliers, so revenue growth RELEASES cash.</t>
  </si>
  <si>
    <t xml:space="preserve">Capital allocation ($B)</t>
  </si>
  <si>
    <t xml:space="preserve">Debt issuance / (repayment)</t>
  </si>
  <si>
    <t xml:space="preserve">FY26E: 9M actual net repayment $14.1B. Then −$5B/yr (partial refinancing of maturities).</t>
  </si>
  <si>
    <t xml:space="preserve">Dividends paid</t>
  </si>
  <si>
    <t xml:space="preserve">FY26E: 9M $11.8B + Q4 ~$3.9B. ~+2%/yr (dividend per share +4%, share count −2%).</t>
  </si>
  <si>
    <t xml:space="preserve">Share repurchases</t>
  </si>
  <si>
    <t xml:space="preserve">FY26E: 9M $62.1B + Q4 ~$26B. Then sized so cash stays ~stable (Apple's 'net cash neutral' goal). Buybacks do NOT change the DCF value.</t>
  </si>
  <si>
    <t xml:space="preserve">Valuation &amp; market inputs</t>
  </si>
  <si>
    <t xml:space="preserve">Current share price ($)</t>
  </si>
  <si>
    <t xml:space="preserve">AAPL close, Sep 18, 2026 (last close before model date). Source: Yahoo Finance / Investing.com.</t>
  </si>
  <si>
    <t xml:space="preserve">Basic shares outstanding (B)</t>
  </si>
  <si>
    <t xml:space="preserve">14,608,963k shares at Jun 27, 2026 — Q3 FY26 balance sheet.</t>
  </si>
  <si>
    <t xml:space="preserve">Dilutive securities – RSUs (B)</t>
  </si>
  <si>
    <t xml:space="preserve">Q3 FY26 diluted (14,714,676k) − basic (14,656,110k) weighted shares.</t>
  </si>
  <si>
    <t xml:space="preserve">Diluted shares outstanding (B)</t>
  </si>
  <si>
    <t xml:space="preserve">Basic + dilution.</t>
  </si>
  <si>
    <t xml:space="preserve">Cash &amp; cash equivalents</t>
  </si>
  <si>
    <t xml:space="preserve">Latest reported balance sheet: Jun 27, 2026 (Q3 FY26).</t>
  </si>
  <si>
    <t xml:space="preserve">Marketable securities – current</t>
  </si>
  <si>
    <t xml:space="preserve">Jun 27, 2026.</t>
  </si>
  <si>
    <t xml:space="preserve">Marketable securities – non-current</t>
  </si>
  <si>
    <t xml:space="preserve">Total cash &amp; marketable securities</t>
  </si>
  <si>
    <t xml:space="preserve">Used in the EV → Equity bridge.</t>
  </si>
  <si>
    <t xml:space="preserve">Commercial paper</t>
  </si>
  <si>
    <t xml:space="preserve">Term debt – current</t>
  </si>
  <si>
    <t xml:space="preserve">Term debt – non-current</t>
  </si>
  <si>
    <t xml:space="preserve">Total debt</t>
  </si>
  <si>
    <t xml:space="preserve">Used in the EV → Equity bridge and WACC weights.</t>
  </si>
  <si>
    <t xml:space="preserve">Net cash / (net debt)</t>
  </si>
  <si>
    <t xml:space="preserve">Positive = net cash.</t>
  </si>
  <si>
    <t xml:space="preserve">Calculated on the WACC tab.</t>
  </si>
  <si>
    <t xml:space="preserve">Terminal growth rate (g)</t>
  </si>
  <si>
    <t xml:space="preserve">~Long-run nominal GDP / inflation + real growth. Must be below WACC and below long-run economic growth.</t>
  </si>
  <si>
    <t xml:space="preserve">Apple Inc. (AAPL) — Income Statement</t>
  </si>
  <si>
    <t xml:space="preserve">$ in billions | Fiscal year ends last Saturday of September | Blue = hard-coded historical input, Black = formula, Green = link to another sheet</t>
  </si>
  <si>
    <t xml:space="preserve">Revenue</t>
  </si>
  <si>
    <t xml:space="preserve">Hist: Form 10-K / Q4 earnings release. Forecast: prior-year revenue × (1 + growth assumption).</t>
  </si>
  <si>
    <t xml:space="preserve">  % growth</t>
  </si>
  <si>
    <t xml:space="preserve">FY2022 growth vs FY2021 revenue of $365.817B (FY2022 Form 10-K).</t>
  </si>
  <si>
    <t xml:space="preserve">Cost of revenue</t>
  </si>
  <si>
    <t xml:space="preserve">Forecast: Revenue − Gross profit.</t>
  </si>
  <si>
    <t xml:space="preserve">Gross profit</t>
  </si>
  <si>
    <t xml:space="preserve">Hist: Revenue − COGS. Forecast: Revenue × Gross margin assumption.</t>
  </si>
  <si>
    <t xml:space="preserve">  % gross margin</t>
  </si>
  <si>
    <t xml:space="preserve">Research &amp; development</t>
  </si>
  <si>
    <t xml:space="preserve">Forecast: Revenue × R&amp;D % of revenue.</t>
  </si>
  <si>
    <t xml:space="preserve">Selling, general &amp; administrative</t>
  </si>
  <si>
    <t xml:space="preserve">Forecast: Revenue × SG&amp;A % of revenue.</t>
  </si>
  <si>
    <t xml:space="preserve">Total operating expenses</t>
  </si>
  <si>
    <t xml:space="preserve">EBIT (operating income)</t>
  </si>
  <si>
    <t xml:space="preserve">EBIT = Gross profit − Operating expenses. Ties to reported operating income every historical year.</t>
  </si>
  <si>
    <t xml:space="preserve">  % EBIT margin</t>
  </si>
  <si>
    <t xml:space="preserve">Other income / (expense), net</t>
  </si>
  <si>
    <t xml:space="preserve">Net interest &amp; investment income less interest expense and other. Small for Apple; forecast set in Assumptions.</t>
  </si>
  <si>
    <t xml:space="preserve">Pre-tax income</t>
  </si>
  <si>
    <t xml:space="preserve">Income taxes</t>
  </si>
  <si>
    <t xml:space="preserve">FY2024 includes a one-time $10.2B charge (EU State Aid decision). Forecast: Pre-tax income × tax rate.</t>
  </si>
  <si>
    <t xml:space="preserve">  % effective tax rate</t>
  </si>
  <si>
    <t xml:space="preserve">Net income</t>
  </si>
  <si>
    <t xml:space="preserve">Ties to reported net income: FY22 $99.803B, FY23 $96.995B, FY24 $93.736B, FY25 $112.010B.</t>
  </si>
  <si>
    <t xml:space="preserve">  % net margin</t>
  </si>
  <si>
    <t xml:space="preserve">Memo</t>
  </si>
  <si>
    <t xml:space="preserve">D&amp;A (from Cash Flow Statement)</t>
  </si>
  <si>
    <t xml:space="preserve">EBITDA</t>
  </si>
  <si>
    <t xml:space="preserve">EBITDA = EBIT + D&amp;A (non-cash charge added back).</t>
  </si>
  <si>
    <t xml:space="preserve">  % EBITDA margin</t>
  </si>
  <si>
    <t xml:space="preserve">Apple Inc. (AAPL) — Balance Sheet (simplified)</t>
  </si>
  <si>
    <t xml:space="preserve">$ in billions | Year-end balances | Line items aggregated from the reported balance sheet (see notes)</t>
  </si>
  <si>
    <t xml:space="preserve">Assets</t>
  </si>
  <si>
    <t xml:space="preserve">Cash &amp; marketable securities</t>
  </si>
  <si>
    <t xml:space="preserve">Hist = cash &amp; equivalents + current and non-current marketable securities (Apple manages these as one liquidity pool). Forecast = ending cash from CFS.</t>
  </si>
  <si>
    <t xml:space="preserve">Trade receivables. Forecast: Revenue × AR %.</t>
  </si>
  <si>
    <t xml:space="preserve">Forecast: Revenue × Inventory %.</t>
  </si>
  <si>
    <t xml:space="preserve">Vendor non-trade receivables + other current assets. Forecast: Revenue × %.</t>
  </si>
  <si>
    <t xml:space="preserve">PP&amp;E, net</t>
  </si>
  <si>
    <t xml:space="preserve">Forecast: Prior PP&amp;E + CapEx − D&amp;A  (CapEx is negative on the CFS, so it is subtracted to add it back).</t>
  </si>
  <si>
    <t xml:space="preserve">Other non-current assets</t>
  </si>
  <si>
    <t xml:space="preserve">Deferred tax assets, intangibles, etc. Held flat (simplification).</t>
  </si>
  <si>
    <t xml:space="preserve">Total assets</t>
  </si>
  <si>
    <t xml:space="preserve">Ties to reported total assets: FY22 $352.755B, FY23 $352.583B, FY24 $364.980B, FY25 $359.241B.</t>
  </si>
  <si>
    <t xml:space="preserve">Liabilities &amp; shareholders' equity</t>
  </si>
  <si>
    <t xml:space="preserve">Forecast: Revenue × AP %.</t>
  </si>
  <si>
    <t xml:space="preserve">Other current liabilities + deferred revenue. Forecast: Revenue × %.</t>
  </si>
  <si>
    <t xml:space="preserve">Commercial paper + current term debt + non-current term debt. Forecast: Prior debt + issuance/(repayment) from CFS.</t>
  </si>
  <si>
    <t xml:space="preserve">Other non-current liabilities</t>
  </si>
  <si>
    <t xml:space="preserve">Mainly long-term tax liabilities. Held flat (simplification).</t>
  </si>
  <si>
    <t xml:space="preserve">Total liabilities</t>
  </si>
  <si>
    <t xml:space="preserve">Shareholders' equity</t>
  </si>
  <si>
    <t xml:space="preserve">Forecast: Prior equity + Net income + SBC − Dividends − Buybacks (dividends/buybacks are negative on the CFS).</t>
  </si>
  <si>
    <t xml:space="preserve">Total liabilities &amp; equity</t>
  </si>
  <si>
    <t xml:space="preserve">Balance check (Assets − Liabilities &amp; equity)</t>
  </si>
  <si>
    <t xml:space="preserve">Must be zero in every year.</t>
  </si>
  <si>
    <t xml:space="preserve">Memo: working capital &amp; net cash</t>
  </si>
  <si>
    <t xml:space="preserve">Net working capital (AR + Inv + OCA − AP − OCL)</t>
  </si>
  <si>
    <t xml:space="preserve">Operating current assets − operating current liabilities (excludes cash and debt). Apple's NWC is negative: suppliers fund its operations.</t>
  </si>
  <si>
    <t xml:space="preserve">Change in NWC (increase = cash outflow)</t>
  </si>
  <si>
    <t xml:space="preserve">Current-year NWC − prior-year NWC. A negative number here means NWC fell → cash released.</t>
  </si>
  <si>
    <t xml:space="preserve">Net cash / (debt)</t>
  </si>
  <si>
    <t xml:space="preserve">Cash &amp; marketable securities − total debt.</t>
  </si>
  <si>
    <t xml:space="preserve">Apple Inc. (AAPL) — Cash Flow Statement (simplified)</t>
  </si>
  <si>
    <t xml:space="preserve">$ in billions | Inflows positive, outflows negative</t>
  </si>
  <si>
    <t xml:space="preserve">Operating activities</t>
  </si>
  <si>
    <t xml:space="preserve">From the Income Statement.</t>
  </si>
  <si>
    <t xml:space="preserve">Depreciation &amp; amortization</t>
  </si>
  <si>
    <t xml:space="preserve">Non-cash expense → added back. Forecast: Revenue × D&amp;A %.</t>
  </si>
  <si>
    <t xml:space="preserve">Share-based compensation</t>
  </si>
  <si>
    <t xml:space="preserve">Non-cash expense → added back in CFO. (Not added back in UFCF — see UFCF tab.)</t>
  </si>
  <si>
    <t xml:space="preserve">Change in working capital (hist. incl. other)</t>
  </si>
  <si>
    <t xml:space="preserve">Hist = reported CFO − NI − D&amp;A − SBC (all working-capital lines + 'other'). Forecast = −(Change in NWC) from the Balance Sheet.</t>
  </si>
  <si>
    <t xml:space="preserve">Cash flow from operations</t>
  </si>
  <si>
    <t xml:space="preserve">Ties to reported CFO: FY22 $122.151B, FY23 $110.543B, FY24 $118.254B, FY25 $111.482B.</t>
  </si>
  <si>
    <t xml:space="preserve">Investing activities</t>
  </si>
  <si>
    <t xml:space="preserve">Capital expenditures</t>
  </si>
  <si>
    <t xml:space="preserve">Payments for PP&amp;E. Forecast: −Revenue × CapEx %.</t>
  </si>
  <si>
    <t xml:space="preserve">Other investing (incl. net marketable securities)</t>
  </si>
  <si>
    <t xml:space="preserve">Hist: net purchases/sales of marketable securities + other. Forecast: 0 because securities are already inside 'Cash &amp; marketable securities'.</t>
  </si>
  <si>
    <t xml:space="preserve">Cash flow from investing</t>
  </si>
  <si>
    <t xml:space="preserve">Financing activities</t>
  </si>
  <si>
    <t xml:space="preserve">Hist: term debt issued − repaid ± net commercial paper. Forecast: from Assumptions.</t>
  </si>
  <si>
    <t xml:space="preserve">Dividends</t>
  </si>
  <si>
    <t xml:space="preserve">Other financing (incl. net share settlement)</t>
  </si>
  <si>
    <t xml:space="preserve">Taxes paid on net share settlement of RSUs + other. Forecast: 0 (simplification).</t>
  </si>
  <si>
    <t xml:space="preserve">Cash flow from financing</t>
  </si>
  <si>
    <t xml:space="preserve">Net change in cash</t>
  </si>
  <si>
    <t xml:space="preserve">Hist = reported change in cash &amp; equivalents only (FY22 −$10.952B, FY23 +$5.760B, FY24 −$0.794B, FY25 +$5.991B).</t>
  </si>
  <si>
    <t xml:space="preserve">Beginning cash &amp; marketable securities</t>
  </si>
  <si>
    <t xml:space="preserve">FY2026E starts from the FY2025 balance sheet.</t>
  </si>
  <si>
    <t xml:space="preserve">Ending cash &amp; marketable securities</t>
  </si>
  <si>
    <t xml:space="preserve">Ending cash = Beginning cash + Net change in cash → flows to the Balance Sheet.</t>
  </si>
  <si>
    <t xml:space="preserve">Free cash flow (CFO + CapEx)</t>
  </si>
  <si>
    <t xml:space="preserve">Levered FCF to equity holders (after interest, includes SBC add-back).</t>
  </si>
  <si>
    <t xml:space="preserve">Cash check (CFS ending cash − BS cash)</t>
  </si>
  <si>
    <t xml:space="preserve">Apple Inc. (AAPL) — Unlevered Free Cash Flow</t>
  </si>
  <si>
    <t xml:space="preserve">$ in billions | UFCF = EBIT × (1 − Tax rate) + D&amp;A − CapEx − Change in NWC</t>
  </si>
  <si>
    <t xml:space="preserve">$B</t>
  </si>
  <si>
    <t xml:space="preserve">FY2026E (base)</t>
  </si>
  <si>
    <t xml:space="preserve">Notes</t>
  </si>
  <si>
    <t xml:space="preserve">DCF year (t)</t>
  </si>
  <si>
    <t xml:space="preserve">FY2026E is the base year (≈ valuation date); FY2027E–FY2031E are discounted.</t>
  </si>
  <si>
    <t xml:space="preserve">EBIT</t>
  </si>
  <si>
    <t xml:space="preserve">Operating profit before interest — belongs to ALL capital providers.</t>
  </si>
  <si>
    <t xml:space="preserve">Tax rate</t>
  </si>
  <si>
    <t xml:space="preserve">Less: tax on EBIT</t>
  </si>
  <si>
    <t xml:space="preserve">Taxes as if Apple had no debt (unlevered).</t>
  </si>
  <si>
    <t xml:space="preserve">NOPAT</t>
  </si>
  <si>
    <t xml:space="preserve">Net operating profit after tax = EBIT × (1 − t).</t>
  </si>
  <si>
    <t xml:space="preserve">Plus: D&amp;A</t>
  </si>
  <si>
    <t xml:space="preserve">Non-cash expense, added back.</t>
  </si>
  <si>
    <t xml:space="preserve">Less: CapEx</t>
  </si>
  <si>
    <t xml:space="preserve">Cash spent on long-term assets (already negative).</t>
  </si>
  <si>
    <t xml:space="preserve">Less: increase in NWC</t>
  </si>
  <si>
    <t xml:space="preserve">Equals −(Change in NWC). Positive here because Apple's negative NWC releases cash as it grows.</t>
  </si>
  <si>
    <t xml:space="preserve">Unlevered free cash flow (UFCF)</t>
  </si>
  <si>
    <t xml:space="preserve">  % UFCF margin</t>
  </si>
  <si>
    <t xml:space="preserve">Memo: SBC (NOT added back)</t>
  </si>
  <si>
    <t xml:space="preserve">Conservative: SBC is a real economic cost (dilution), so it stays deducted inside EBIT.</t>
  </si>
  <si>
    <t xml:space="preserve">Apple Inc. (AAPL) — DCF Valuation</t>
  </si>
  <si>
    <t xml:space="preserve">$ in billions except per share | End-of-year discounting | Valuation date ≈ FY2026 year-end (Sep 26, 2026)</t>
  </si>
  <si>
    <t xml:space="preserve">Formula</t>
  </si>
  <si>
    <t xml:space="preserve">Year (t)</t>
  </si>
  <si>
    <t xml:space="preserve">Discount factor</t>
  </si>
  <si>
    <t xml:space="preserve">1 / (1 + WACC)^t</t>
  </si>
  <si>
    <t xml:space="preserve">PV of UFCF</t>
  </si>
  <si>
    <t xml:space="preserve">UFCF / (1 + WACC)^t</t>
  </si>
  <si>
    <t xml:space="preserve">Sum of PV of UFCF (FY27–FY31)</t>
  </si>
  <si>
    <t xml:space="preserve">Terminal value — Gordon Growth Method</t>
  </si>
  <si>
    <t xml:space="preserve">Final-year UFCF (FY2031E)</t>
  </si>
  <si>
    <t xml:space="preserve">Terminal value (at end of FY2031)</t>
  </si>
  <si>
    <t xml:space="preserve">TV = UFCF₅ × (1 + g) / (WACC − g)</t>
  </si>
  <si>
    <t xml:space="preserve">Discount factor (t = 5)</t>
  </si>
  <si>
    <t xml:space="preserve">PV of terminal value</t>
  </si>
  <si>
    <t xml:space="preserve">TV / (1 + WACC)^5</t>
  </si>
  <si>
    <t xml:space="preserve">Enterprise value → Equity value → Share price</t>
  </si>
  <si>
    <t xml:space="preserve">Enterprise value</t>
  </si>
  <si>
    <t xml:space="preserve">PV of forecast UFCF + PV of terminal value</t>
  </si>
  <si>
    <t xml:space="preserve">  % of EV from terminal value</t>
  </si>
  <si>
    <t xml:space="preserve">Plus: cash &amp; marketable securities</t>
  </si>
  <si>
    <t xml:space="preserve">Latest reported (Jun 27, 2026)</t>
  </si>
  <si>
    <t xml:space="preserve">Less: total debt</t>
  </si>
  <si>
    <t xml:space="preserve">Equity value</t>
  </si>
  <si>
    <t xml:space="preserve">EV + Cash − Debt</t>
  </si>
  <si>
    <t xml:space="preserve">Diluted shares (B)</t>
  </si>
  <si>
    <t xml:space="preserve">Implied share price ($)</t>
  </si>
  <si>
    <t xml:space="preserve">Equity value / Diluted shares</t>
  </si>
  <si>
    <t xml:space="preserve">Upside / (downside)</t>
  </si>
  <si>
    <t xml:space="preserve">Sanity checks &amp; reverse DCF</t>
  </si>
  <si>
    <t xml:space="preserve">Implied terminal EV / EBITDA (TV ÷ FY31E EBITDA)</t>
  </si>
  <si>
    <t xml:space="preserve">Cross-check: does the Gordon Growth TV imply a sensible exit multiple?</t>
  </si>
  <si>
    <t xml:space="preserve">Implied EV / FY2026E EBITDA</t>
  </si>
  <si>
    <t xml:space="preserve">Market EV at current price</t>
  </si>
  <si>
    <t xml:space="preserve">Market cap − net cash</t>
  </si>
  <si>
    <t xml:space="preserve">Market EV / FY2026E EBITDA</t>
  </si>
  <si>
    <t xml:space="preserve">Terminal growth implied by current price</t>
  </si>
  <si>
    <t xml:space="preserve">Reverse DCF: solve TV = UFCF₅(1+g)/(WACC−g) for g, where TV = (Market EV − PV of UFCF) × (1+WACC)^5 → g = (TV×WACC − UFCF₅)/(TV + UFCF₅)</t>
  </si>
  <si>
    <t xml:space="preserve">Apple Inc. (AAPL) — WACC</t>
  </si>
  <si>
    <t xml:space="preserve">WACC = E/(D+E) × Cost of equity + D/(D+E) × After-tax cost of debt</t>
  </si>
  <si>
    <t xml:space="preserve">Input</t>
  </si>
  <si>
    <t xml:space="preserve">Value</t>
  </si>
  <si>
    <t xml:space="preserve">Source / logic</t>
  </si>
  <si>
    <t xml:space="preserve">Cost of equity (CAPM)</t>
  </si>
  <si>
    <t xml:space="preserve">Risk-free rate (10-yr US Treasury)</t>
  </si>
  <si>
    <t xml:space="preserve">10-yr Treasury ≈ 5.0% (5.01% on Sep 18, 2026; ~4.97% on Sep 21). Source: US Treasury / FRED DGS10. Match to long-dated cash flows.</t>
  </si>
  <si>
    <t xml:space="preserve">Beta (levered)</t>
  </si>
  <si>
    <t xml:space="preserve">AAPL 5-yr monthly beta vs S&amp;P 500 has been ~1.1–1.25 (Yahoo/Bloomberg). 1.10 used — verify on the day you present.</t>
  </si>
  <si>
    <t xml:space="preserve">Equity risk premium</t>
  </si>
  <si>
    <t xml:space="preserve">Damodaran implied US ERP: 4.23% at Jan 1, 2026 (damodaran.com). Rounded to 4.25%.</t>
  </si>
  <si>
    <t xml:space="preserve">Cost of equity</t>
  </si>
  <si>
    <t xml:space="preserve">Rf + β × ERP</t>
  </si>
  <si>
    <t xml:space="preserve">Cost of debt</t>
  </si>
  <si>
    <t xml:space="preserve">Credit spread over Treasuries</t>
  </si>
  <si>
    <t xml:space="preserve">Apple is rated AA+/Aaa; its long bonds trade ~30–60bp over Treasuries. 0.40% assumed.</t>
  </si>
  <si>
    <t xml:space="preserve">Pre-tax cost of debt</t>
  </si>
  <si>
    <t xml:space="preserve">Rf + spread (approximates yield on Apple's bonds).</t>
  </si>
  <si>
    <t xml:space="preserve">Long-term tax rate from Assumptions.</t>
  </si>
  <si>
    <t xml:space="preserve">After-tax cost of debt</t>
  </si>
  <si>
    <t xml:space="preserve">Interest is tax-deductible → Kd × (1 − t).</t>
  </si>
  <si>
    <t xml:space="preserve">Capital structure (market values)</t>
  </si>
  <si>
    <t xml:space="preserve">Share price ($)</t>
  </si>
  <si>
    <t xml:space="preserve">Market value of equity (E)</t>
  </si>
  <si>
    <t xml:space="preserve">Market cap — use market, not book, values.</t>
  </si>
  <si>
    <t xml:space="preserve">Total debt (D)</t>
  </si>
  <si>
    <t xml:space="preserve">Jun 27, 2026 balance sheet (book ≈ market for Apple's bonds).</t>
  </si>
  <si>
    <t xml:space="preserve">Total capital (D + E)</t>
  </si>
  <si>
    <t xml:space="preserve">E / (D + E)</t>
  </si>
  <si>
    <t xml:space="preserve">D / (D + E)</t>
  </si>
  <si>
    <t xml:space="preserve">Apple is ~98% equity-financed, so WACC ≈ cost of equity.</t>
  </si>
  <si>
    <t xml:space="preserve">Apple Inc. (AAPL) — DCF Sensitivity: Implied Share Price ($)</t>
  </si>
  <si>
    <t xml:space="preserve">Rows = terminal growth rate, columns = WACC. Every cell re-runs the full DCF (PV of UFCF + PV of TV + cash − debt) ÷ diluted shares.</t>
  </si>
  <si>
    <t xml:space="preserve">WACC →</t>
  </si>
  <si>
    <t xml:space="preserve">Weighted average cost of capital</t>
  </si>
  <si>
    <t xml:space="preserve">Terminal growth ↓</t>
  </si>
  <si>
    <t xml:space="preserve">Base case (model WACC &amp; g)</t>
  </si>
  <si>
    <t xml:space="preserve">Base-case WACC / g</t>
  </si>
  <si>
    <t xml:space="preserve">How to read it: moving right (higher WACC) lowers value; moving down (higher g) raises value. The spread between WACC and g drives the terminal value, which is ~70–75% of EV.</t>
  </si>
  <si>
    <t xml:space="preserve">Apple Inc. (AAPL) — Valuation Summary</t>
  </si>
  <si>
    <t xml:space="preserve">Base case | $ in billions except per share</t>
  </si>
  <si>
    <t xml:space="preserve">Metric</t>
  </si>
  <si>
    <t xml:space="preserve">Current share price</t>
  </si>
  <si>
    <t xml:space="preserve">Enterprise value ($B)</t>
  </si>
  <si>
    <t xml:space="preserve">Equity value ($B)</t>
  </si>
  <si>
    <t xml:space="preserve">Implied share price</t>
  </si>
  <si>
    <t xml:space="preserve">Terminal growth</t>
  </si>
  <si>
    <t xml:space="preserve">Key assumptions &amp; outputs</t>
  </si>
  <si>
    <t xml:space="preserve">Revenue CAGR FY2026E–FY2031E</t>
  </si>
  <si>
    <t xml:space="preserve">Revenue CAGR FY2025A–FY2031E</t>
  </si>
  <si>
    <t xml:space="preserve">EBIT margin FY2025A</t>
  </si>
  <si>
    <t xml:space="preserve">EBIT margin FY2031E</t>
  </si>
  <si>
    <t xml:space="preserve">UFCF FY2027E ($B)</t>
  </si>
  <si>
    <t xml:space="preserve">UFCF FY2031E ($B)</t>
  </si>
  <si>
    <t xml:space="preserve">UFCF CAGR FY2027E–FY2031E</t>
  </si>
  <si>
    <t xml:space="preserve">Terminal value as % of EV</t>
  </si>
  <si>
    <t xml:space="preserve">Implied terminal EV/EBITDA</t>
  </si>
  <si>
    <t xml:space="preserve">Net cash ($B, Jun 27, 2026)</t>
  </si>
  <si>
    <t xml:space="preserve">Trailing P/E (price ÷ TTM diluted EPS $8.73)</t>
  </si>
  <si>
    <t xml:space="preserve">TTM EPS = Q4 FY25 $1.85 + 9M FY26 $6.88 (Apple earnings releases).</t>
  </si>
  <si>
    <t xml:space="preserve">Interpretation (base case)</t>
  </si>
  <si>
    <t xml:space="preserve">• On reasonable assumptions (≈4.6% revenue CAGR FY26–FY31E after a 14.6% FY26, EBIT margin ~32–33%, 9.6% WACC, 3% terminal growth), the DCF implies a value well below the current share price.</t>
  </si>
  <si>
    <t xml:space="preserve">• This is not a recommendation. It shows what the market is pricing in: at today's price and our cash flows, the model needs ~7% perpetual growth — or, holding g at 3%, a WACC of about 6.0% (≈6.9% if g = 4%).</t>
  </si>
  <si>
    <t xml:space="preserve">• A 5.0% risk-free rate (near a 19-year high) makes the CAPM cost of equity high. Investors appear to price Apple as a bond-like, lower-risk franchise (lower implied discount rate) and/or expect</t>
  </si>
  <si>
    <t xml:space="preserve">   a longer runway of growth from Services, the AI-driven upgrade cycle (Siri AI, iPhone 18 / foldable) and emerging markets than a 5-year fade to 3% assumes.</t>
  </si>
  <si>
    <t xml:space="preserve">• Terminal value is ~70%+ of EV, so the answer is dominated by WACC and g — see the Sensitivity Analysis tab.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</si>
</sst>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;\–"/>
    <numFmt numFmtId="166" formatCode="#,##0.0;\(#,##0.0\);\–"/>
    <numFmt numFmtId="167" formatCode="\$#,##0.00;&quot;($&quot;#,##0.00\);\–"/>
    <numFmt numFmtId="168" formatCode="#,##0.000"/>
    <numFmt numFmtId="169" formatCode="0.00%;\(0.00%\);\–"/>
    <numFmt numFmtId="170" formatCode="#,##0.00;\(#,##0.00\);\–"/>
    <numFmt numFmtId="171" formatCode="0"/>
    <numFmt numFmtId="172" formatCode="0.0000"/>
    <numFmt numFmtId="173" formatCode="0.0\x"/>
    <numFmt numFmtId="174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DD"/>
      </patternFill>
    </fill>
    <fill>
      <patternFill patternType="solid">
        <fgColor rgb="FFEAF1DD"/>
        <bgColor rgb="FFF2F2F2"/>
      </patternFill>
    </fill>
    <fill>
      <patternFill patternType="solid">
        <fgColor rgb="FFD9E1F2"/>
        <bgColor rgb="FFEAF1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1" t="s">
        <v>0</v>
      </c>
    </row>
    <row r="2" customFormat="false" ht="16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5" t="s">
        <v>19</v>
      </c>
      <c r="B13" s="6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6" customFormat="false" ht="15" hidden="false" customHeight="false" outlineLevel="0" collapsed="false">
      <c r="A16" s="7" t="s">
        <v>23</v>
      </c>
    </row>
    <row r="17" customFormat="false" ht="15" hidden="false" customHeight="false" outlineLevel="0" collapsed="false">
      <c r="A17" s="8" t="s">
        <v>24</v>
      </c>
      <c r="B17" s="6" t="s">
        <v>25</v>
      </c>
    </row>
    <row r="18" customFormat="false" ht="15" hidden="false" customHeight="false" outlineLevel="0" collapsed="false">
      <c r="A18" s="6" t="s">
        <v>24</v>
      </c>
      <c r="B18" s="6" t="s">
        <v>26</v>
      </c>
    </row>
    <row r="19" customFormat="false" ht="15" hidden="false" customHeight="false" outlineLevel="0" collapsed="false">
      <c r="A19" s="9" t="s">
        <v>24</v>
      </c>
      <c r="B19" s="6" t="s">
        <v>27</v>
      </c>
    </row>
    <row r="20" customFormat="false" ht="15" hidden="false" customHeight="false" outlineLevel="0" collapsed="false">
      <c r="A20" s="10"/>
      <c r="B20" s="6" t="s">
        <v>28</v>
      </c>
    </row>
    <row r="22" customFormat="false" ht="15" hidden="false" customHeight="false" outlineLevel="0" collapsed="false">
      <c r="A22" s="7" t="s">
        <v>29</v>
      </c>
    </row>
    <row r="23" customFormat="false" ht="15" hidden="false" customHeight="false" outlineLevel="0" collapsed="false">
      <c r="A23" s="6" t="s">
        <v>30</v>
      </c>
    </row>
    <row r="24" customFormat="false" ht="15" hidden="false" customHeight="false" outlineLevel="0" collapsed="false">
      <c r="A24" s="6" t="s">
        <v>31</v>
      </c>
    </row>
    <row r="25" customFormat="false" ht="15" hidden="false" customHeight="false" outlineLevel="0" collapsed="false">
      <c r="A25" s="6" t="s">
        <v>32</v>
      </c>
    </row>
    <row r="26" customFormat="false" ht="15" hidden="false" customHeight="false" outlineLevel="0" collapsed="false">
      <c r="A26" s="6" t="s">
        <v>33</v>
      </c>
    </row>
    <row r="27" customFormat="false" ht="15" hidden="false" customHeight="false" outlineLevel="0" collapsed="false">
      <c r="A27" s="6" t="s">
        <v>34</v>
      </c>
    </row>
    <row r="29" customFormat="false" ht="15" hidden="false" customHeight="false" outlineLevel="0" collapsed="false">
      <c r="A29" s="7" t="s">
        <v>35</v>
      </c>
    </row>
    <row r="30" customFormat="false" ht="15" hidden="false" customHeight="false" outlineLevel="0" collapsed="false">
      <c r="A30" s="11" t="s">
        <v>36</v>
      </c>
    </row>
    <row r="31" customFormat="false" ht="15" hidden="false" customHeight="false" outlineLevel="0" collapsed="false">
      <c r="A31" s="11" t="s">
        <v>37</v>
      </c>
    </row>
    <row r="32" customFormat="false" ht="15" hidden="false" customHeight="false" outlineLevel="0" collapsed="false">
      <c r="A32" s="11" t="s">
        <v>38</v>
      </c>
    </row>
    <row r="33" customFormat="false" ht="15" hidden="false" customHeight="false" outlineLevel="0" collapsed="false">
      <c r="A33" s="11" t="s">
        <v>39</v>
      </c>
    </row>
    <row r="34" customFormat="false" ht="15" hidden="false" customHeight="false" outlineLevel="0" collapsed="false">
      <c r="A34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  <col collapsed="false" customWidth="true" hidden="false" outlineLevel="0" max="12" min="12" style="0" width="110"/>
  </cols>
  <sheetData>
    <row r="1" customFormat="false" ht="17.35" hidden="false" customHeight="false" outlineLevel="0" collapsed="false">
      <c r="A1" s="12" t="s">
        <v>41</v>
      </c>
    </row>
    <row r="2" customFormat="false" ht="15" hidden="false" customHeight="false" outlineLevel="0" collapsed="false">
      <c r="A2" s="3" t="s">
        <v>42</v>
      </c>
    </row>
    <row r="3" customFormat="false" ht="15" hidden="false" customHeight="false" outlineLevel="0" collapsed="false">
      <c r="B3" s="13" t="s">
        <v>43</v>
      </c>
      <c r="C3" s="13"/>
      <c r="D3" s="13"/>
      <c r="E3" s="13"/>
      <c r="F3" s="14" t="s">
        <v>44</v>
      </c>
      <c r="G3" s="15" t="s">
        <v>45</v>
      </c>
      <c r="H3" s="15"/>
      <c r="I3" s="15"/>
      <c r="J3" s="15"/>
      <c r="K3" s="15"/>
    </row>
    <row r="4" customFormat="false" ht="15" hidden="false" customHeight="false" outlineLevel="0" collapsed="false">
      <c r="A4" s="4"/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6" t="s">
        <v>54</v>
      </c>
      <c r="K4" s="16" t="s">
        <v>55</v>
      </c>
      <c r="L4" s="4" t="s">
        <v>56</v>
      </c>
    </row>
    <row r="5" customFormat="false" ht="15" hidden="false" customHeight="false" outlineLevel="0" collapsed="false">
      <c r="A5" s="17" t="s">
        <v>57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15" hidden="false" customHeight="false" outlineLevel="0" collapsed="false">
      <c r="A6" s="6" t="s">
        <v>58</v>
      </c>
      <c r="B6" s="19" t="n">
        <f aca="false">'Income Statement'!B6</f>
        <v>0.0779378760418459</v>
      </c>
      <c r="C6" s="19" t="n">
        <f aca="false">'Income Statement'!C6</f>
        <v>-0.0280046053031993</v>
      </c>
      <c r="D6" s="19" t="n">
        <f aca="false">'Income Statement'!D6</f>
        <v>0.0202199407751411</v>
      </c>
      <c r="E6" s="19" t="n">
        <f aca="false">'Income Statement'!E6</f>
        <v>0.0642551178283273</v>
      </c>
      <c r="F6" s="20" t="n">
        <v>0.146</v>
      </c>
      <c r="G6" s="20" t="n">
        <v>0.06</v>
      </c>
      <c r="H6" s="20" t="n">
        <v>0.05</v>
      </c>
      <c r="I6" s="20" t="n">
        <v>0.045</v>
      </c>
      <c r="J6" s="20" t="n">
        <v>0.04</v>
      </c>
      <c r="K6" s="20" t="n">
        <v>0.035</v>
      </c>
      <c r="L6" s="3" t="s">
        <v>59</v>
      </c>
    </row>
    <row r="7" customFormat="false" ht="15" hidden="false" customHeight="false" outlineLevel="0" collapsed="false">
      <c r="A7" s="6" t="s">
        <v>60</v>
      </c>
      <c r="B7" s="19" t="n">
        <f aca="false">'Income Statement'!B9</f>
        <v>0.433096305613601</v>
      </c>
      <c r="C7" s="19" t="n">
        <f aca="false">'Income Statement'!C9</f>
        <v>0.441311295772076</v>
      </c>
      <c r="D7" s="19" t="n">
        <f aca="false">'Income Statement'!D9</f>
        <v>0.462063498152339</v>
      </c>
      <c r="E7" s="19" t="n">
        <f aca="false">'Income Statement'!E9</f>
        <v>0.469051641071604</v>
      </c>
      <c r="F7" s="20" t="n">
        <v>0.487</v>
      </c>
      <c r="G7" s="20" t="n">
        <v>0.475</v>
      </c>
      <c r="H7" s="20" t="n">
        <v>0.4775</v>
      </c>
      <c r="I7" s="20" t="n">
        <v>0.48</v>
      </c>
      <c r="J7" s="20" t="n">
        <v>0.4825</v>
      </c>
      <c r="K7" s="20" t="n">
        <v>0.485</v>
      </c>
      <c r="L7" s="3" t="s">
        <v>61</v>
      </c>
    </row>
    <row r="8" customFormat="false" ht="15" hidden="false" customHeight="false" outlineLevel="0" collapsed="false">
      <c r="A8" s="6" t="s">
        <v>62</v>
      </c>
      <c r="B8" s="19" t="n">
        <f aca="false">'Income Statement'!B10/'Income Statement'!B5</f>
        <v>0.0665714836379867</v>
      </c>
      <c r="C8" s="19" t="n">
        <f aca="false">'Income Statement'!C10/'Income Statement'!C5</f>
        <v>0.0780489713920451</v>
      </c>
      <c r="D8" s="19" t="n">
        <f aca="false">'Income Statement'!D10/'Income Statement'!D5</f>
        <v>0.0802229979413607</v>
      </c>
      <c r="E8" s="19" t="n">
        <f aca="false">'Income Statement'!E10/'Income Statement'!E5</f>
        <v>0.0830207539870387</v>
      </c>
      <c r="F8" s="21" t="n">
        <v>0.096</v>
      </c>
      <c r="G8" s="21" t="n">
        <v>0.096</v>
      </c>
      <c r="H8" s="21" t="n">
        <v>0.096</v>
      </c>
      <c r="I8" s="21" t="n">
        <v>0.096</v>
      </c>
      <c r="J8" s="21" t="n">
        <v>0.096</v>
      </c>
      <c r="K8" s="21" t="n">
        <v>0.096</v>
      </c>
      <c r="L8" s="3" t="s">
        <v>63</v>
      </c>
    </row>
    <row r="9" customFormat="false" ht="15" hidden="false" customHeight="false" outlineLevel="0" collapsed="false">
      <c r="A9" s="6" t="s">
        <v>64</v>
      </c>
      <c r="B9" s="19" t="n">
        <f aca="false">'Income Statement'!B11/'Income Statement'!B5</f>
        <v>0.0636373780203283</v>
      </c>
      <c r="C9" s="19" t="n">
        <f aca="false">'Income Statement'!C11/'Income Statement'!C5</f>
        <v>0.0650482017297833</v>
      </c>
      <c r="D9" s="19" t="n">
        <f aca="false">'Income Statement'!D11/'Income Statement'!D5</f>
        <v>0.0667382715102229</v>
      </c>
      <c r="E9" s="19" t="n">
        <f aca="false">'Income Statement'!E11/'Income Statement'!E5</f>
        <v>0.066322889458647</v>
      </c>
      <c r="F9" s="21" t="n">
        <v>0.062</v>
      </c>
      <c r="G9" s="21" t="n">
        <v>0.062</v>
      </c>
      <c r="H9" s="21" t="n">
        <v>0.062</v>
      </c>
      <c r="I9" s="21" t="n">
        <v>0.062</v>
      </c>
      <c r="J9" s="21" t="n">
        <v>0.062</v>
      </c>
      <c r="K9" s="21" t="n">
        <v>0.062</v>
      </c>
      <c r="L9" s="3" t="s">
        <v>65</v>
      </c>
    </row>
    <row r="10" customFormat="false" ht="15" hidden="false" customHeight="false" outlineLevel="0" collapsed="false">
      <c r="A10" s="22" t="s">
        <v>66</v>
      </c>
      <c r="B10" s="23" t="n">
        <f aca="false">'Income Statement'!B14</f>
        <v>0.302887443955286</v>
      </c>
      <c r="C10" s="23" t="n">
        <f aca="false">'Income Statement'!C14</f>
        <v>0.298214122650247</v>
      </c>
      <c r="D10" s="23" t="n">
        <f aca="false">'Income Statement'!D14</f>
        <v>0.315102228700756</v>
      </c>
      <c r="E10" s="23" t="n">
        <f aca="false">'Income Statement'!E14</f>
        <v>0.319707997625919</v>
      </c>
      <c r="F10" s="24" t="n">
        <f aca="false">F7-F8-F9</f>
        <v>0.329</v>
      </c>
      <c r="G10" s="24" t="n">
        <f aca="false">G7-G8-G9</f>
        <v>0.317</v>
      </c>
      <c r="H10" s="24" t="n">
        <f aca="false">H7-H8-H9</f>
        <v>0.3195</v>
      </c>
      <c r="I10" s="24" t="n">
        <f aca="false">I7-I8-I9</f>
        <v>0.322</v>
      </c>
      <c r="J10" s="24" t="n">
        <f aca="false">J7-J8-J9</f>
        <v>0.3245</v>
      </c>
      <c r="K10" s="24" t="n">
        <f aca="false">K7-K8-K9</f>
        <v>0.327</v>
      </c>
      <c r="L10" s="3" t="s">
        <v>67</v>
      </c>
    </row>
    <row r="11" customFormat="false" ht="15" hidden="false" customHeight="false" outlineLevel="0" collapsed="false">
      <c r="A11" s="6" t="s">
        <v>68</v>
      </c>
      <c r="B11" s="25" t="n">
        <f aca="false">'Income Statement'!B15</f>
        <v>-0.334</v>
      </c>
      <c r="C11" s="25" t="n">
        <f aca="false">'Income Statement'!C15</f>
        <v>-0.565</v>
      </c>
      <c r="D11" s="25" t="n">
        <f aca="false">'Income Statement'!D15</f>
        <v>0.269</v>
      </c>
      <c r="E11" s="25" t="n">
        <f aca="false">'Income Statement'!E15</f>
        <v>-0.321</v>
      </c>
      <c r="F11" s="26" t="n">
        <v>0.9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3" t="s">
        <v>69</v>
      </c>
    </row>
    <row r="12" customFormat="false" ht="15" hidden="false" customHeight="false" outlineLevel="0" collapsed="false">
      <c r="A12" s="6" t="s">
        <v>70</v>
      </c>
      <c r="B12" s="19" t="n">
        <f aca="false">'Income Statement'!B18</f>
        <v>0.162044616844244</v>
      </c>
      <c r="C12" s="19" t="n">
        <f aca="false">'Income Statement'!C18</f>
        <v>0.147191742280369</v>
      </c>
      <c r="D12" s="19" t="n">
        <f aca="false">'Income Statement'!D18</f>
        <v>0.2409118516419</v>
      </c>
      <c r="E12" s="19" t="n">
        <f aca="false">'Income Statement'!E18</f>
        <v>0.15610002335586</v>
      </c>
      <c r="F12" s="21" t="n">
        <v>0.176</v>
      </c>
      <c r="G12" s="21" t="n">
        <v>0.17</v>
      </c>
      <c r="H12" s="21" t="n">
        <v>0.17</v>
      </c>
      <c r="I12" s="21" t="n">
        <v>0.17</v>
      </c>
      <c r="J12" s="21" t="n">
        <v>0.17</v>
      </c>
      <c r="K12" s="21" t="n">
        <v>0.17</v>
      </c>
      <c r="L12" s="3" t="s">
        <v>71</v>
      </c>
    </row>
    <row r="14" customFormat="false" ht="15" hidden="false" customHeight="false" outlineLevel="0" collapsed="false">
      <c r="A14" s="17" t="s">
        <v>72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15" hidden="false" customHeight="false" outlineLevel="0" collapsed="false">
      <c r="A15" s="6" t="s">
        <v>73</v>
      </c>
      <c r="B15" s="19" t="n">
        <f aca="false">'Cash Flow Statement'!B7/'Income Statement'!B5</f>
        <v>0.0281592988578037</v>
      </c>
      <c r="C15" s="19" t="n">
        <f aca="false">'Cash Flow Statement'!C7/'Income Statement'!C5</f>
        <v>0.0300533545534002</v>
      </c>
      <c r="D15" s="19" t="n">
        <f aca="false">'Cash Flow Statement'!D7/'Income Statement'!D5</f>
        <v>0.0292684798035981</v>
      </c>
      <c r="E15" s="19" t="n">
        <f aca="false">'Cash Flow Statement'!E7/'Income Statement'!E5</f>
        <v>0.0281093134628185</v>
      </c>
      <c r="F15" s="21" t="n">
        <v>0.0275</v>
      </c>
      <c r="G15" s="21" t="n">
        <v>0.028</v>
      </c>
      <c r="H15" s="21" t="n">
        <v>0.028</v>
      </c>
      <c r="I15" s="21" t="n">
        <v>0.028</v>
      </c>
      <c r="J15" s="21" t="n">
        <v>0.028</v>
      </c>
      <c r="K15" s="21" t="n">
        <v>0.028</v>
      </c>
      <c r="L15" s="3" t="s">
        <v>74</v>
      </c>
    </row>
    <row r="16" customFormat="false" ht="15" hidden="false" customHeight="false" outlineLevel="0" collapsed="false">
      <c r="A16" s="6" t="s">
        <v>75</v>
      </c>
      <c r="B16" s="19" t="n">
        <f aca="false">-'Cash Flow Statement'!B13/'Income Statement'!B5</f>
        <v>0.0271550587328316</v>
      </c>
      <c r="C16" s="19" t="n">
        <f aca="false">-'Cash Flow Statement'!C13/'Income Statement'!C5</f>
        <v>0.0285923007683577</v>
      </c>
      <c r="D16" s="19" t="n">
        <f aca="false">-'Cash Flow Statement'!D13/'Income Statement'!D5</f>
        <v>0.0241589627526948</v>
      </c>
      <c r="E16" s="19" t="n">
        <f aca="false">-'Cash Flow Statement'!E13/'Income Statement'!E5</f>
        <v>0.0305530792169377</v>
      </c>
      <c r="F16" s="20" t="n">
        <v>0.023</v>
      </c>
      <c r="G16" s="20" t="n">
        <v>0.03</v>
      </c>
      <c r="H16" s="20" t="n">
        <v>0.03</v>
      </c>
      <c r="I16" s="20" t="n">
        <v>0.03</v>
      </c>
      <c r="J16" s="20" t="n">
        <v>0.03</v>
      </c>
      <c r="K16" s="20" t="n">
        <v>0.03</v>
      </c>
      <c r="L16" s="3" t="s">
        <v>76</v>
      </c>
    </row>
    <row r="17" customFormat="false" ht="15" hidden="false" customHeight="false" outlineLevel="0" collapsed="false">
      <c r="A17" s="6" t="s">
        <v>77</v>
      </c>
      <c r="B17" s="19" t="n">
        <f aca="false">'Cash Flow Statement'!B8/'Income Statement'!B5</f>
        <v>0.0229200056805502</v>
      </c>
      <c r="C17" s="19" t="n">
        <f aca="false">'Cash Flow Statement'!C8/'Income Statement'!C5</f>
        <v>0.0282635636667232</v>
      </c>
      <c r="D17" s="19" t="n">
        <f aca="false">'Cash Flow Statement'!D8/'Income Statement'!D5</f>
        <v>0.0298899075530323</v>
      </c>
      <c r="E17" s="19" t="n">
        <f aca="false">'Cash Flow Statement'!E8/'Income Statement'!E5</f>
        <v>0.0309087108114408</v>
      </c>
      <c r="F17" s="21" t="n">
        <v>0.03</v>
      </c>
      <c r="G17" s="21" t="n">
        <v>0.03</v>
      </c>
      <c r="H17" s="21" t="n">
        <v>0.03</v>
      </c>
      <c r="I17" s="21" t="n">
        <v>0.03</v>
      </c>
      <c r="J17" s="21" t="n">
        <v>0.03</v>
      </c>
      <c r="K17" s="21" t="n">
        <v>0.03</v>
      </c>
      <c r="L17" s="3" t="s">
        <v>78</v>
      </c>
    </row>
    <row r="19" customFormat="false" ht="15" hidden="false" customHeight="false" outlineLevel="0" collapsed="false">
      <c r="A19" s="17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customFormat="false" ht="15" hidden="false" customHeight="false" outlineLevel="0" collapsed="false">
      <c r="A20" s="6" t="s">
        <v>80</v>
      </c>
      <c r="B20" s="19" t="n">
        <f aca="false">'Balance Sheet'!B7/'Income Statement'!B5</f>
        <v>0.0714734941470045</v>
      </c>
      <c r="C20" s="19" t="n">
        <f aca="false">'Balance Sheet'!C7/'Income Statement'!C5</f>
        <v>0.0769870983732731</v>
      </c>
      <c r="D20" s="19" t="n">
        <f aca="false">'Balance Sheet'!D7/'Income Statement'!D5</f>
        <v>0.0854399222575984</v>
      </c>
      <c r="E20" s="19" t="n">
        <f aca="false">'Balance Sheet'!E7/'Income Statement'!E5</f>
        <v>0.0955807968550633</v>
      </c>
      <c r="F20" s="27" t="n">
        <f aca="false">$E20</f>
        <v>0.0955807968550633</v>
      </c>
      <c r="G20" s="27" t="n">
        <f aca="false">$E20</f>
        <v>0.0955807968550633</v>
      </c>
      <c r="H20" s="27" t="n">
        <f aca="false">$E20</f>
        <v>0.0955807968550633</v>
      </c>
      <c r="I20" s="27" t="n">
        <f aca="false">$E20</f>
        <v>0.0955807968550633</v>
      </c>
      <c r="J20" s="27" t="n">
        <f aca="false">$E20</f>
        <v>0.0955807968550633</v>
      </c>
      <c r="K20" s="27" t="n">
        <f aca="false">$E20</f>
        <v>0.0955807968550633</v>
      </c>
      <c r="L20" s="3" t="s">
        <v>81</v>
      </c>
    </row>
    <row r="21" customFormat="false" ht="15" hidden="false" customHeight="false" outlineLevel="0" collapsed="false">
      <c r="A21" s="6" t="s">
        <v>82</v>
      </c>
      <c r="B21" s="19" t="n">
        <f aca="false">'Balance Sheet'!B8/'Income Statement'!B5</f>
        <v>0.0125428577225051</v>
      </c>
      <c r="C21" s="19" t="n">
        <f aca="false">'Balance Sheet'!C8/'Income Statement'!C5</f>
        <v>0.0165177348448283</v>
      </c>
      <c r="D21" s="19" t="n">
        <f aca="false">'Balance Sheet'!D8/'Income Statement'!D5</f>
        <v>0.0186326032196606</v>
      </c>
      <c r="E21" s="19" t="n">
        <f aca="false">'Balance Sheet'!E8/'Income Statement'!E5</f>
        <v>0.0137398747119504</v>
      </c>
      <c r="F21" s="27" t="n">
        <f aca="false">$E21</f>
        <v>0.0137398747119504</v>
      </c>
      <c r="G21" s="27" t="n">
        <f aca="false">$E21</f>
        <v>0.0137398747119504</v>
      </c>
      <c r="H21" s="27" t="n">
        <f aca="false">$E21</f>
        <v>0.0137398747119504</v>
      </c>
      <c r="I21" s="27" t="n">
        <f aca="false">$E21</f>
        <v>0.0137398747119504</v>
      </c>
      <c r="J21" s="27" t="n">
        <f aca="false">$E21</f>
        <v>0.0137398747119504</v>
      </c>
      <c r="K21" s="27" t="n">
        <f aca="false">$E21</f>
        <v>0.0137398747119504</v>
      </c>
    </row>
    <row r="22" customFormat="false" ht="15" hidden="false" customHeight="false" outlineLevel="0" collapsed="false">
      <c r="A22" s="6" t="s">
        <v>83</v>
      </c>
      <c r="B22" s="19" t="n">
        <f aca="false">'Balance Sheet'!B9/'Income Statement'!B5</f>
        <v>0.136868292386034</v>
      </c>
      <c r="C22" s="19" t="n">
        <f aca="false">'Balance Sheet'!C9/'Income Statement'!C5</f>
        <v>0.120463884576751</v>
      </c>
      <c r="D22" s="19" t="n">
        <f aca="false">'Balance Sheet'!D9/'Income Statement'!D5</f>
        <v>0.120500722441725</v>
      </c>
      <c r="E22" s="19" t="n">
        <f aca="false">'Balance Sheet'!E9/'Income Statement'!E5</f>
        <v>0.114775291293514</v>
      </c>
      <c r="F22" s="27" t="n">
        <f aca="false">$E22</f>
        <v>0.114775291293514</v>
      </c>
      <c r="G22" s="27" t="n">
        <f aca="false">$E22</f>
        <v>0.114775291293514</v>
      </c>
      <c r="H22" s="27" t="n">
        <f aca="false">$E22</f>
        <v>0.114775291293514</v>
      </c>
      <c r="I22" s="27" t="n">
        <f aca="false">$E22</f>
        <v>0.114775291293514</v>
      </c>
      <c r="J22" s="27" t="n">
        <f aca="false">$E22</f>
        <v>0.114775291293514</v>
      </c>
      <c r="K22" s="27" t="n">
        <f aca="false">$E22</f>
        <v>0.114775291293514</v>
      </c>
    </row>
    <row r="23" customFormat="false" ht="15" hidden="false" customHeight="false" outlineLevel="0" collapsed="false">
      <c r="A23" s="6" t="s">
        <v>84</v>
      </c>
      <c r="B23" s="19" t="n">
        <f aca="false">'Balance Sheet'!B15/'Income Statement'!B5</f>
        <v>0.162593069728754</v>
      </c>
      <c r="C23" s="19" t="n">
        <f aca="false">'Balance Sheet'!C15/'Income Statement'!C5</f>
        <v>0.163353640241596</v>
      </c>
      <c r="D23" s="19" t="n">
        <f aca="false">'Balance Sheet'!D15/'Income Statement'!D5</f>
        <v>0.176352500415564</v>
      </c>
      <c r="E23" s="19" t="n">
        <f aca="false">'Balance Sheet'!E15/'Income Statement'!E5</f>
        <v>0.167867724270174</v>
      </c>
      <c r="F23" s="27" t="n">
        <f aca="false">$E23</f>
        <v>0.167867724270174</v>
      </c>
      <c r="G23" s="27" t="n">
        <f aca="false">$E23</f>
        <v>0.167867724270174</v>
      </c>
      <c r="H23" s="27" t="n">
        <f aca="false">$E23</f>
        <v>0.167867724270174</v>
      </c>
      <c r="I23" s="27" t="n">
        <f aca="false">$E23</f>
        <v>0.167867724270174</v>
      </c>
      <c r="J23" s="27" t="n">
        <f aca="false">$E23</f>
        <v>0.167867724270174</v>
      </c>
      <c r="K23" s="27" t="n">
        <f aca="false">$E23</f>
        <v>0.167867724270174</v>
      </c>
    </row>
    <row r="24" customFormat="false" ht="15" hidden="false" customHeight="false" outlineLevel="0" collapsed="false">
      <c r="A24" s="6" t="s">
        <v>85</v>
      </c>
      <c r="B24" s="19" t="n">
        <f aca="false">'Balance Sheet'!B16/'Income Statement'!B5</f>
        <v>0.174364995638149</v>
      </c>
      <c r="C24" s="19" t="n">
        <f aca="false">'Balance Sheet'!C16/'Income Statement'!C5</f>
        <v>0.17451765657409</v>
      </c>
      <c r="D24" s="19" t="n">
        <f aca="false">'Balance Sheet'!D16/'Income Statement'!D5</f>
        <v>0.221343358011431</v>
      </c>
      <c r="E24" s="19" t="n">
        <f aca="false">'Balance Sheet'!E16/'Income Statement'!E5</f>
        <v>0.181280802381771</v>
      </c>
      <c r="F24" s="27" t="n">
        <f aca="false">$E24</f>
        <v>0.181280802381771</v>
      </c>
      <c r="G24" s="27" t="n">
        <f aca="false">$E24</f>
        <v>0.181280802381771</v>
      </c>
      <c r="H24" s="27" t="n">
        <f aca="false">$E24</f>
        <v>0.181280802381771</v>
      </c>
      <c r="I24" s="27" t="n">
        <f aca="false">$E24</f>
        <v>0.181280802381771</v>
      </c>
      <c r="J24" s="27" t="n">
        <f aca="false">$E24</f>
        <v>0.181280802381771</v>
      </c>
      <c r="K24" s="27" t="n">
        <f aca="false">$E24</f>
        <v>0.181280802381771</v>
      </c>
    </row>
    <row r="25" customFormat="false" ht="15" hidden="false" customHeight="false" outlineLevel="0" collapsed="false">
      <c r="A25" s="22" t="s">
        <v>86</v>
      </c>
      <c r="B25" s="24" t="n">
        <f aca="false">B20+B21+B22-B23-B24</f>
        <v>-0.116073421111359</v>
      </c>
      <c r="C25" s="24" t="n">
        <f aca="false">C20+C21+C22-C23-C24</f>
        <v>-0.123902579020833</v>
      </c>
      <c r="D25" s="24" t="n">
        <f aca="false">D20+D21+D22-D23-D24</f>
        <v>-0.173122610508011</v>
      </c>
      <c r="E25" s="24" t="n">
        <f aca="false">E20+E21+E22-E23-E24</f>
        <v>-0.125052563791417</v>
      </c>
      <c r="F25" s="24" t="n">
        <f aca="false">F20+F21+F22-F23-F24</f>
        <v>-0.125052563791417</v>
      </c>
      <c r="G25" s="24" t="n">
        <f aca="false">G20+G21+G22-G23-G24</f>
        <v>-0.125052563791417</v>
      </c>
      <c r="H25" s="24" t="n">
        <f aca="false">H20+H21+H22-H23-H24</f>
        <v>-0.125052563791417</v>
      </c>
      <c r="I25" s="24" t="n">
        <f aca="false">I20+I21+I22-I23-I24</f>
        <v>-0.125052563791417</v>
      </c>
      <c r="J25" s="24" t="n">
        <f aca="false">J20+J21+J22-J23-J24</f>
        <v>-0.125052563791417</v>
      </c>
      <c r="K25" s="24" t="n">
        <f aca="false">K20+K21+K22-K23-K24</f>
        <v>-0.125052563791417</v>
      </c>
      <c r="L25" s="3" t="s">
        <v>87</v>
      </c>
    </row>
    <row r="27" customFormat="false" ht="15" hidden="false" customHeight="false" outlineLevel="0" collapsed="false">
      <c r="A27" s="17" t="s">
        <v>88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customFormat="false" ht="15" hidden="false" customHeight="false" outlineLevel="0" collapsed="false">
      <c r="A28" s="6" t="s">
        <v>89</v>
      </c>
      <c r="B28" s="25" t="n">
        <f aca="false">'Cash Flow Statement'!B18</f>
        <v>-0.123</v>
      </c>
      <c r="C28" s="25" t="n">
        <f aca="false">'Cash Flow Statement'!C18</f>
        <v>-9.901</v>
      </c>
      <c r="D28" s="25" t="n">
        <f aca="false">'Cash Flow Statement'!D18</f>
        <v>-5.998</v>
      </c>
      <c r="E28" s="25" t="n">
        <f aca="false">'Cash Flow Statement'!E18</f>
        <v>-8.483</v>
      </c>
      <c r="F28" s="26" t="n">
        <v>-14</v>
      </c>
      <c r="G28" s="26" t="n">
        <v>-5</v>
      </c>
      <c r="H28" s="26" t="n">
        <v>-5</v>
      </c>
      <c r="I28" s="26" t="n">
        <v>-5</v>
      </c>
      <c r="J28" s="26" t="n">
        <v>-5</v>
      </c>
      <c r="K28" s="26" t="n">
        <v>-5</v>
      </c>
      <c r="L28" s="3" t="s">
        <v>90</v>
      </c>
    </row>
    <row r="29" customFormat="false" ht="15" hidden="false" customHeight="false" outlineLevel="0" collapsed="false">
      <c r="A29" s="6" t="s">
        <v>91</v>
      </c>
      <c r="B29" s="25" t="n">
        <f aca="false">-'Cash Flow Statement'!B19</f>
        <v>14.841</v>
      </c>
      <c r="C29" s="25" t="n">
        <f aca="false">-'Cash Flow Statement'!C19</f>
        <v>15.025</v>
      </c>
      <c r="D29" s="25" t="n">
        <f aca="false">-'Cash Flow Statement'!D19</f>
        <v>15.234</v>
      </c>
      <c r="E29" s="25" t="n">
        <f aca="false">-'Cash Flow Statement'!E19</f>
        <v>15.421</v>
      </c>
      <c r="F29" s="26" t="n">
        <v>15.7</v>
      </c>
      <c r="G29" s="26" t="n">
        <v>16</v>
      </c>
      <c r="H29" s="26" t="n">
        <v>16.3</v>
      </c>
      <c r="I29" s="26" t="n">
        <v>16.7</v>
      </c>
      <c r="J29" s="26" t="n">
        <v>17</v>
      </c>
      <c r="K29" s="26" t="n">
        <v>17.3</v>
      </c>
      <c r="L29" s="3" t="s">
        <v>92</v>
      </c>
    </row>
    <row r="30" customFormat="false" ht="15" hidden="false" customHeight="false" outlineLevel="0" collapsed="false">
      <c r="A30" s="6" t="s">
        <v>93</v>
      </c>
      <c r="B30" s="25" t="n">
        <f aca="false">-'Cash Flow Statement'!B20</f>
        <v>89.402</v>
      </c>
      <c r="C30" s="25" t="n">
        <f aca="false">-'Cash Flow Statement'!C20</f>
        <v>77.55</v>
      </c>
      <c r="D30" s="25" t="n">
        <f aca="false">-'Cash Flow Statement'!D20</f>
        <v>94.949</v>
      </c>
      <c r="E30" s="25" t="n">
        <f aca="false">-'Cash Flow Statement'!E20</f>
        <v>90.711</v>
      </c>
      <c r="F30" s="26" t="n">
        <v>88</v>
      </c>
      <c r="G30" s="26" t="n">
        <v>120</v>
      </c>
      <c r="H30" s="26" t="n">
        <v>130</v>
      </c>
      <c r="I30" s="26" t="n">
        <v>140</v>
      </c>
      <c r="J30" s="26" t="n">
        <v>145</v>
      </c>
      <c r="K30" s="26" t="n">
        <v>150</v>
      </c>
      <c r="L30" s="3" t="s">
        <v>94</v>
      </c>
    </row>
    <row r="32" customFormat="false" ht="15" hidden="false" customHeight="false" outlineLevel="0" collapsed="false">
      <c r="A32" s="17" t="s">
        <v>95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customFormat="false" ht="15" hidden="false" customHeight="false" outlineLevel="0" collapsed="false">
      <c r="A33" s="6" t="s">
        <v>96</v>
      </c>
      <c r="B33" s="28" t="n">
        <v>336.13</v>
      </c>
      <c r="C33" s="3" t="s">
        <v>97</v>
      </c>
    </row>
    <row r="34" customFormat="false" ht="15" hidden="false" customHeight="false" outlineLevel="0" collapsed="false">
      <c r="A34" s="6" t="s">
        <v>98</v>
      </c>
      <c r="B34" s="29" t="n">
        <v>14.608963</v>
      </c>
      <c r="C34" s="3" t="s">
        <v>99</v>
      </c>
    </row>
    <row r="35" customFormat="false" ht="15" hidden="false" customHeight="false" outlineLevel="0" collapsed="false">
      <c r="A35" s="6" t="s">
        <v>100</v>
      </c>
      <c r="B35" s="29" t="n">
        <v>0.058566</v>
      </c>
      <c r="C35" s="3" t="s">
        <v>101</v>
      </c>
    </row>
    <row r="36" customFormat="false" ht="15" hidden="false" customHeight="false" outlineLevel="0" collapsed="false">
      <c r="A36" s="5" t="s">
        <v>102</v>
      </c>
      <c r="B36" s="30" t="n">
        <f aca="false">B34+B35</f>
        <v>14.667529</v>
      </c>
      <c r="C36" s="3" t="s">
        <v>103</v>
      </c>
    </row>
    <row r="37" customFormat="false" ht="15" hidden="false" customHeight="false" outlineLevel="0" collapsed="false">
      <c r="A37" s="6" t="s">
        <v>104</v>
      </c>
      <c r="B37" s="26" t="n">
        <v>39.544</v>
      </c>
      <c r="C37" s="3" t="s">
        <v>105</v>
      </c>
    </row>
    <row r="38" customFormat="false" ht="15" hidden="false" customHeight="false" outlineLevel="0" collapsed="false">
      <c r="A38" s="6" t="s">
        <v>106</v>
      </c>
      <c r="B38" s="26" t="n">
        <v>22.855</v>
      </c>
      <c r="C38" s="3" t="s">
        <v>107</v>
      </c>
    </row>
    <row r="39" customFormat="false" ht="15" hidden="false" customHeight="false" outlineLevel="0" collapsed="false">
      <c r="A39" s="6" t="s">
        <v>108</v>
      </c>
      <c r="B39" s="26" t="n">
        <v>84.118</v>
      </c>
      <c r="C39" s="3" t="s">
        <v>107</v>
      </c>
    </row>
    <row r="40" customFormat="false" ht="15" hidden="false" customHeight="false" outlineLevel="0" collapsed="false">
      <c r="A40" s="5" t="s">
        <v>109</v>
      </c>
      <c r="B40" s="31" t="n">
        <f aca="false">SUM(B37:B39)</f>
        <v>146.517</v>
      </c>
      <c r="C40" s="3" t="s">
        <v>110</v>
      </c>
    </row>
    <row r="41" customFormat="false" ht="15" hidden="false" customHeight="false" outlineLevel="0" collapsed="false">
      <c r="A41" s="6" t="s">
        <v>111</v>
      </c>
      <c r="B41" s="26" t="n">
        <v>1.997</v>
      </c>
      <c r="C41" s="3" t="s">
        <v>107</v>
      </c>
    </row>
    <row r="42" customFormat="false" ht="15" hidden="false" customHeight="false" outlineLevel="0" collapsed="false">
      <c r="A42" s="6" t="s">
        <v>112</v>
      </c>
      <c r="B42" s="26" t="n">
        <v>11.007</v>
      </c>
      <c r="C42" s="3" t="s">
        <v>107</v>
      </c>
    </row>
    <row r="43" customFormat="false" ht="15" hidden="false" customHeight="false" outlineLevel="0" collapsed="false">
      <c r="A43" s="6" t="s">
        <v>113</v>
      </c>
      <c r="B43" s="26" t="n">
        <v>71.34</v>
      </c>
      <c r="C43" s="3" t="s">
        <v>107</v>
      </c>
    </row>
    <row r="44" customFormat="false" ht="15" hidden="false" customHeight="false" outlineLevel="0" collapsed="false">
      <c r="A44" s="5" t="s">
        <v>114</v>
      </c>
      <c r="B44" s="31" t="n">
        <f aca="false">SUM(B41:B43)</f>
        <v>84.344</v>
      </c>
      <c r="C44" s="3" t="s">
        <v>115</v>
      </c>
    </row>
    <row r="45" customFormat="false" ht="15" hidden="false" customHeight="false" outlineLevel="0" collapsed="false">
      <c r="A45" s="5" t="s">
        <v>116</v>
      </c>
      <c r="B45" s="31" t="n">
        <f aca="false">B40-B44</f>
        <v>62.173</v>
      </c>
      <c r="C45" s="3" t="s">
        <v>117</v>
      </c>
    </row>
    <row r="46" customFormat="false" ht="15" hidden="false" customHeight="false" outlineLevel="0" collapsed="false">
      <c r="A46" s="5" t="s">
        <v>17</v>
      </c>
      <c r="B46" s="32" t="n">
        <f aca="false">WACC!B24</f>
        <v>0.0958765433193507</v>
      </c>
      <c r="C46" s="3" t="s">
        <v>118</v>
      </c>
    </row>
    <row r="47" customFormat="false" ht="15" hidden="false" customHeight="false" outlineLevel="0" collapsed="false">
      <c r="A47" s="5" t="s">
        <v>119</v>
      </c>
      <c r="B47" s="20" t="n">
        <v>0.03</v>
      </c>
      <c r="C47" s="3" t="s">
        <v>120</v>
      </c>
    </row>
  </sheetData>
  <mergeCells count="2">
    <mergeCell ref="B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  <col collapsed="false" customWidth="true" hidden="false" outlineLevel="0" max="12" min="12" style="0" width="110"/>
  </cols>
  <sheetData>
    <row r="1" customFormat="false" ht="17.35" hidden="false" customHeight="false" outlineLevel="0" collapsed="false">
      <c r="A1" s="12" t="s">
        <v>121</v>
      </c>
    </row>
    <row r="2" customFormat="false" ht="15" hidden="false" customHeight="false" outlineLevel="0" collapsed="false">
      <c r="A2" s="3" t="s">
        <v>122</v>
      </c>
    </row>
    <row r="3" customFormat="false" ht="15" hidden="false" customHeight="false" outlineLevel="0" collapsed="false">
      <c r="B3" s="13" t="s">
        <v>43</v>
      </c>
      <c r="C3" s="13"/>
      <c r="D3" s="13"/>
      <c r="E3" s="13"/>
      <c r="F3" s="14" t="s">
        <v>44</v>
      </c>
      <c r="G3" s="15" t="s">
        <v>45</v>
      </c>
      <c r="H3" s="15"/>
      <c r="I3" s="15"/>
      <c r="J3" s="15"/>
      <c r="K3" s="15"/>
    </row>
    <row r="4" customFormat="false" ht="15" hidden="false" customHeight="false" outlineLevel="0" collapsed="false">
      <c r="A4" s="4"/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6" t="s">
        <v>54</v>
      </c>
      <c r="K4" s="16" t="s">
        <v>55</v>
      </c>
      <c r="L4" s="4" t="s">
        <v>56</v>
      </c>
    </row>
    <row r="5" customFormat="false" ht="15" hidden="false" customHeight="false" outlineLevel="0" collapsed="false">
      <c r="A5" s="5" t="s">
        <v>123</v>
      </c>
      <c r="B5" s="33" t="n">
        <v>394.328</v>
      </c>
      <c r="C5" s="33" t="n">
        <v>383.285</v>
      </c>
      <c r="D5" s="33" t="n">
        <v>391.035</v>
      </c>
      <c r="E5" s="33" t="n">
        <v>416.161</v>
      </c>
      <c r="F5" s="34" t="n">
        <f aca="false">E5*(1+Assumptions!F6)</f>
        <v>476.920506</v>
      </c>
      <c r="G5" s="34" t="n">
        <f aca="false">F5*(1+Assumptions!G6)</f>
        <v>505.53573636</v>
      </c>
      <c r="H5" s="34" t="n">
        <f aca="false">G5*(1+Assumptions!H6)</f>
        <v>530.812523178</v>
      </c>
      <c r="I5" s="34" t="n">
        <f aca="false">H5*(1+Assumptions!I6)</f>
        <v>554.69908672101</v>
      </c>
      <c r="J5" s="34" t="n">
        <f aca="false">I5*(1+Assumptions!J6)</f>
        <v>576.88705018985</v>
      </c>
      <c r="K5" s="34" t="n">
        <f aca="false">J5*(1+Assumptions!K6)</f>
        <v>597.078096946495</v>
      </c>
      <c r="L5" s="3" t="s">
        <v>124</v>
      </c>
    </row>
    <row r="6" customFormat="false" ht="15" hidden="false" customHeight="false" outlineLevel="0" collapsed="false">
      <c r="A6" s="22" t="s">
        <v>125</v>
      </c>
      <c r="B6" s="24" t="n">
        <f aca="false">B5/365.817-1</f>
        <v>0.0779378760418459</v>
      </c>
      <c r="C6" s="24" t="n">
        <f aca="false">C5/B5-1</f>
        <v>-0.0280046053031993</v>
      </c>
      <c r="D6" s="24" t="n">
        <f aca="false">D5/C5-1</f>
        <v>0.0202199407751411</v>
      </c>
      <c r="E6" s="24" t="n">
        <f aca="false">E5/D5-1</f>
        <v>0.0642551178283273</v>
      </c>
      <c r="F6" s="24" t="n">
        <f aca="false">F5/E5-1</f>
        <v>0.146</v>
      </c>
      <c r="G6" s="24" t="n">
        <f aca="false">G5/F5-1</f>
        <v>0.0600000000000001</v>
      </c>
      <c r="H6" s="24" t="n">
        <f aca="false">H5/G5-1</f>
        <v>0.05</v>
      </c>
      <c r="I6" s="24" t="n">
        <f aca="false">I5/H5-1</f>
        <v>0.0449999999999999</v>
      </c>
      <c r="J6" s="24" t="n">
        <f aca="false">J5/I5-1</f>
        <v>0.04</v>
      </c>
      <c r="K6" s="24" t="n">
        <f aca="false">K5/J5-1</f>
        <v>0.0349999999999999</v>
      </c>
      <c r="L6" s="3" t="s">
        <v>126</v>
      </c>
    </row>
    <row r="7" customFormat="false" ht="15" hidden="false" customHeight="false" outlineLevel="0" collapsed="false">
      <c r="A7" s="6" t="s">
        <v>127</v>
      </c>
      <c r="B7" s="26" t="n">
        <v>223.546</v>
      </c>
      <c r="C7" s="26" t="n">
        <v>214.137</v>
      </c>
      <c r="D7" s="26" t="n">
        <v>210.352</v>
      </c>
      <c r="E7" s="26" t="n">
        <v>220.96</v>
      </c>
      <c r="F7" s="35" t="n">
        <f aca="false">F5-F8</f>
        <v>244.660219578</v>
      </c>
      <c r="G7" s="35" t="n">
        <f aca="false">G5-G8</f>
        <v>265.406261589</v>
      </c>
      <c r="H7" s="35" t="n">
        <f aca="false">H5-H8</f>
        <v>277.349543360505</v>
      </c>
      <c r="I7" s="35" t="n">
        <f aca="false">I5-I8</f>
        <v>288.443525094925</v>
      </c>
      <c r="J7" s="35" t="n">
        <f aca="false">J5-J8</f>
        <v>298.539048473248</v>
      </c>
      <c r="K7" s="35" t="n">
        <f aca="false">K5-K8</f>
        <v>307.495219927445</v>
      </c>
      <c r="L7" s="3" t="s">
        <v>128</v>
      </c>
    </row>
    <row r="8" customFormat="false" ht="15" hidden="false" customHeight="false" outlineLevel="0" collapsed="false">
      <c r="A8" s="36" t="s">
        <v>129</v>
      </c>
      <c r="B8" s="37" t="n">
        <f aca="false">B5-B7</f>
        <v>170.782</v>
      </c>
      <c r="C8" s="37" t="n">
        <f aca="false">C5-C7</f>
        <v>169.148</v>
      </c>
      <c r="D8" s="37" t="n">
        <f aca="false">D5-D7</f>
        <v>180.683</v>
      </c>
      <c r="E8" s="37" t="n">
        <f aca="false">E5-E7</f>
        <v>195.201</v>
      </c>
      <c r="F8" s="38" t="n">
        <f aca="false">F5*Assumptions!F7</f>
        <v>232.260286422</v>
      </c>
      <c r="G8" s="38" t="n">
        <f aca="false">G5*Assumptions!G7</f>
        <v>240.129474771</v>
      </c>
      <c r="H8" s="38" t="n">
        <f aca="false">H5*Assumptions!H7</f>
        <v>253.462979817495</v>
      </c>
      <c r="I8" s="38" t="n">
        <f aca="false">I5*Assumptions!I7</f>
        <v>266.255561626085</v>
      </c>
      <c r="J8" s="38" t="n">
        <f aca="false">J5*Assumptions!J7</f>
        <v>278.348001716603</v>
      </c>
      <c r="K8" s="38" t="n">
        <f aca="false">K5*Assumptions!K7</f>
        <v>289.58287701905</v>
      </c>
      <c r="L8" s="3" t="s">
        <v>130</v>
      </c>
    </row>
    <row r="9" customFormat="false" ht="15" hidden="false" customHeight="false" outlineLevel="0" collapsed="false">
      <c r="A9" s="22" t="s">
        <v>131</v>
      </c>
      <c r="B9" s="24" t="n">
        <f aca="false">B8/B5</f>
        <v>0.433096305613601</v>
      </c>
      <c r="C9" s="24" t="n">
        <f aca="false">C8/C5</f>
        <v>0.441311295772076</v>
      </c>
      <c r="D9" s="24" t="n">
        <f aca="false">D8/D5</f>
        <v>0.462063498152339</v>
      </c>
      <c r="E9" s="24" t="n">
        <f aca="false">E8/E5</f>
        <v>0.469051641071604</v>
      </c>
      <c r="F9" s="24" t="n">
        <f aca="false">F8/F5</f>
        <v>0.487</v>
      </c>
      <c r="G9" s="24" t="n">
        <f aca="false">G8/G5</f>
        <v>0.475</v>
      </c>
      <c r="H9" s="24" t="n">
        <f aca="false">H8/H5</f>
        <v>0.4775</v>
      </c>
      <c r="I9" s="24" t="n">
        <f aca="false">I8/I5</f>
        <v>0.48</v>
      </c>
      <c r="J9" s="24" t="n">
        <f aca="false">J8/J5</f>
        <v>0.4825</v>
      </c>
      <c r="K9" s="24" t="n">
        <f aca="false">K8/K5</f>
        <v>0.485</v>
      </c>
    </row>
    <row r="10" customFormat="false" ht="15" hidden="false" customHeight="false" outlineLevel="0" collapsed="false">
      <c r="A10" s="6" t="s">
        <v>132</v>
      </c>
      <c r="B10" s="26" t="n">
        <v>26.251</v>
      </c>
      <c r="C10" s="26" t="n">
        <v>29.915</v>
      </c>
      <c r="D10" s="26" t="n">
        <v>31.37</v>
      </c>
      <c r="E10" s="26" t="n">
        <v>34.55</v>
      </c>
      <c r="F10" s="25" t="n">
        <f aca="false">F5*Assumptions!F8</f>
        <v>45.784368576</v>
      </c>
      <c r="G10" s="25" t="n">
        <f aca="false">G5*Assumptions!G8</f>
        <v>48.53143069056</v>
      </c>
      <c r="H10" s="25" t="n">
        <f aca="false">H5*Assumptions!H8</f>
        <v>50.958002225088</v>
      </c>
      <c r="I10" s="25" t="n">
        <f aca="false">I5*Assumptions!I8</f>
        <v>53.251112325217</v>
      </c>
      <c r="J10" s="25" t="n">
        <f aca="false">J5*Assumptions!J8</f>
        <v>55.3811568182256</v>
      </c>
      <c r="K10" s="25" t="n">
        <f aca="false">K5*Assumptions!K8</f>
        <v>57.3194973068635</v>
      </c>
      <c r="L10" s="3" t="s">
        <v>133</v>
      </c>
    </row>
    <row r="11" customFormat="false" ht="15" hidden="false" customHeight="false" outlineLevel="0" collapsed="false">
      <c r="A11" s="6" t="s">
        <v>134</v>
      </c>
      <c r="B11" s="26" t="n">
        <v>25.094</v>
      </c>
      <c r="C11" s="26" t="n">
        <v>24.932</v>
      </c>
      <c r="D11" s="26" t="n">
        <v>26.097</v>
      </c>
      <c r="E11" s="26" t="n">
        <v>27.601</v>
      </c>
      <c r="F11" s="25" t="n">
        <f aca="false">F5*Assumptions!F9</f>
        <v>29.569071372</v>
      </c>
      <c r="G11" s="25" t="n">
        <f aca="false">G5*Assumptions!G9</f>
        <v>31.34321565432</v>
      </c>
      <c r="H11" s="25" t="n">
        <f aca="false">H5*Assumptions!H9</f>
        <v>32.910376437036</v>
      </c>
      <c r="I11" s="25" t="n">
        <f aca="false">I5*Assumptions!I9</f>
        <v>34.3913433767026</v>
      </c>
      <c r="J11" s="25" t="n">
        <f aca="false">J5*Assumptions!J9</f>
        <v>35.7669971117707</v>
      </c>
      <c r="K11" s="25" t="n">
        <f aca="false">K5*Assumptions!K9</f>
        <v>37.0188420106827</v>
      </c>
      <c r="L11" s="3" t="s">
        <v>135</v>
      </c>
    </row>
    <row r="12" customFormat="false" ht="15" hidden="false" customHeight="false" outlineLevel="0" collapsed="false">
      <c r="A12" s="39" t="s">
        <v>136</v>
      </c>
      <c r="B12" s="40" t="n">
        <f aca="false">B10+B11</f>
        <v>51.345</v>
      </c>
      <c r="C12" s="40" t="n">
        <f aca="false">C10+C11</f>
        <v>54.847</v>
      </c>
      <c r="D12" s="40" t="n">
        <f aca="false">D10+D11</f>
        <v>57.467</v>
      </c>
      <c r="E12" s="40" t="n">
        <f aca="false">E10+E11</f>
        <v>62.151</v>
      </c>
      <c r="F12" s="40" t="n">
        <f aca="false">F10+F11</f>
        <v>75.353439948</v>
      </c>
      <c r="G12" s="40" t="n">
        <f aca="false">G10+G11</f>
        <v>79.87464634488</v>
      </c>
      <c r="H12" s="40" t="n">
        <f aca="false">H10+H11</f>
        <v>83.868378662124</v>
      </c>
      <c r="I12" s="40" t="n">
        <f aca="false">I10+I11</f>
        <v>87.6424557019196</v>
      </c>
      <c r="J12" s="40" t="n">
        <f aca="false">J10+J11</f>
        <v>91.1481539299964</v>
      </c>
      <c r="K12" s="40" t="n">
        <f aca="false">K10+K11</f>
        <v>94.3383393175462</v>
      </c>
    </row>
    <row r="13" customFormat="false" ht="15" hidden="false" customHeight="false" outlineLevel="0" collapsed="false">
      <c r="A13" s="5" t="s">
        <v>137</v>
      </c>
      <c r="B13" s="31" t="n">
        <f aca="false">B8-B12</f>
        <v>119.437</v>
      </c>
      <c r="C13" s="31" t="n">
        <f aca="false">C8-C12</f>
        <v>114.301</v>
      </c>
      <c r="D13" s="31" t="n">
        <f aca="false">D8-D12</f>
        <v>123.216</v>
      </c>
      <c r="E13" s="31" t="n">
        <f aca="false">E8-E12</f>
        <v>133.05</v>
      </c>
      <c r="F13" s="31" t="n">
        <f aca="false">F8-F12</f>
        <v>156.906846474</v>
      </c>
      <c r="G13" s="31" t="n">
        <f aca="false">G8-G12</f>
        <v>160.25482842612</v>
      </c>
      <c r="H13" s="31" t="n">
        <f aca="false">H8-H12</f>
        <v>169.594601155371</v>
      </c>
      <c r="I13" s="31" t="n">
        <f aca="false">I8-I12</f>
        <v>178.613105924165</v>
      </c>
      <c r="J13" s="31" t="n">
        <f aca="false">J8-J12</f>
        <v>187.199847786606</v>
      </c>
      <c r="K13" s="31" t="n">
        <f aca="false">K8-K12</f>
        <v>195.244537701504</v>
      </c>
      <c r="L13" s="3" t="s">
        <v>138</v>
      </c>
    </row>
    <row r="14" customFormat="false" ht="15" hidden="false" customHeight="false" outlineLevel="0" collapsed="false">
      <c r="A14" s="22" t="s">
        <v>139</v>
      </c>
      <c r="B14" s="24" t="n">
        <f aca="false">B13/B5</f>
        <v>0.302887443955286</v>
      </c>
      <c r="C14" s="24" t="n">
        <f aca="false">C13/C5</f>
        <v>0.298214122650247</v>
      </c>
      <c r="D14" s="24" t="n">
        <f aca="false">D13/D5</f>
        <v>0.315102228700756</v>
      </c>
      <c r="E14" s="24" t="n">
        <f aca="false">E13/E5</f>
        <v>0.319707997625919</v>
      </c>
      <c r="F14" s="24" t="n">
        <f aca="false">F13/F5</f>
        <v>0.329</v>
      </c>
      <c r="G14" s="24" t="n">
        <f aca="false">G13/G5</f>
        <v>0.317</v>
      </c>
      <c r="H14" s="24" t="n">
        <f aca="false">H13/H5</f>
        <v>0.3195</v>
      </c>
      <c r="I14" s="24" t="n">
        <f aca="false">I13/I5</f>
        <v>0.322</v>
      </c>
      <c r="J14" s="24" t="n">
        <f aca="false">J13/J5</f>
        <v>0.3245</v>
      </c>
      <c r="K14" s="24" t="n">
        <f aca="false">K13/K5</f>
        <v>0.327</v>
      </c>
    </row>
    <row r="15" customFormat="false" ht="15" hidden="false" customHeight="false" outlineLevel="0" collapsed="false">
      <c r="A15" s="6" t="s">
        <v>140</v>
      </c>
      <c r="B15" s="26" t="n">
        <v>-0.334</v>
      </c>
      <c r="C15" s="26" t="n">
        <v>-0.565</v>
      </c>
      <c r="D15" s="26" t="n">
        <v>0.269</v>
      </c>
      <c r="E15" s="26" t="n">
        <v>-0.321</v>
      </c>
      <c r="F15" s="25" t="n">
        <f aca="false">Assumptions!F11</f>
        <v>0.9</v>
      </c>
      <c r="G15" s="25" t="n">
        <f aca="false">Assumptions!G11</f>
        <v>0</v>
      </c>
      <c r="H15" s="25" t="n">
        <f aca="false">Assumptions!H11</f>
        <v>0</v>
      </c>
      <c r="I15" s="25" t="n">
        <f aca="false">Assumptions!I11</f>
        <v>0</v>
      </c>
      <c r="J15" s="25" t="n">
        <f aca="false">Assumptions!J11</f>
        <v>0</v>
      </c>
      <c r="K15" s="25" t="n">
        <f aca="false">Assumptions!K11</f>
        <v>0</v>
      </c>
      <c r="L15" s="3" t="s">
        <v>141</v>
      </c>
    </row>
    <row r="16" customFormat="false" ht="15" hidden="false" customHeight="false" outlineLevel="0" collapsed="false">
      <c r="A16" s="39" t="s">
        <v>142</v>
      </c>
      <c r="B16" s="40" t="n">
        <f aca="false">B13+B15</f>
        <v>119.103</v>
      </c>
      <c r="C16" s="40" t="n">
        <f aca="false">C13+C15</f>
        <v>113.736</v>
      </c>
      <c r="D16" s="40" t="n">
        <f aca="false">D13+D15</f>
        <v>123.485</v>
      </c>
      <c r="E16" s="40" t="n">
        <f aca="false">E13+E15</f>
        <v>132.729</v>
      </c>
      <c r="F16" s="40" t="n">
        <f aca="false">F13+F15</f>
        <v>157.806846474</v>
      </c>
      <c r="G16" s="40" t="n">
        <f aca="false">G13+G15</f>
        <v>160.25482842612</v>
      </c>
      <c r="H16" s="40" t="n">
        <f aca="false">H13+H15</f>
        <v>169.594601155371</v>
      </c>
      <c r="I16" s="40" t="n">
        <f aca="false">I13+I15</f>
        <v>178.613105924165</v>
      </c>
      <c r="J16" s="40" t="n">
        <f aca="false">J13+J15</f>
        <v>187.199847786606</v>
      </c>
      <c r="K16" s="40" t="n">
        <f aca="false">K13+K15</f>
        <v>195.244537701504</v>
      </c>
    </row>
    <row r="17" customFormat="false" ht="15" hidden="false" customHeight="false" outlineLevel="0" collapsed="false">
      <c r="A17" s="6" t="s">
        <v>143</v>
      </c>
      <c r="B17" s="26" t="n">
        <v>19.3</v>
      </c>
      <c r="C17" s="26" t="n">
        <v>16.741</v>
      </c>
      <c r="D17" s="26" t="n">
        <v>29.749</v>
      </c>
      <c r="E17" s="26" t="n">
        <v>20.719</v>
      </c>
      <c r="F17" s="25" t="n">
        <f aca="false">F16*Assumptions!F12</f>
        <v>27.774004979424</v>
      </c>
      <c r="G17" s="25" t="n">
        <f aca="false">G16*Assumptions!G12</f>
        <v>27.2433208324404</v>
      </c>
      <c r="H17" s="25" t="n">
        <f aca="false">H16*Assumptions!H12</f>
        <v>28.8310821964131</v>
      </c>
      <c r="I17" s="25" t="n">
        <f aca="false">I16*Assumptions!I12</f>
        <v>30.3642280071081</v>
      </c>
      <c r="J17" s="25" t="n">
        <f aca="false">J16*Assumptions!J12</f>
        <v>31.8239741237231</v>
      </c>
      <c r="K17" s="25" t="n">
        <f aca="false">K16*Assumptions!K12</f>
        <v>33.1915714092557</v>
      </c>
      <c r="L17" s="3" t="s">
        <v>144</v>
      </c>
    </row>
    <row r="18" customFormat="false" ht="15" hidden="false" customHeight="false" outlineLevel="0" collapsed="false">
      <c r="A18" s="22" t="s">
        <v>145</v>
      </c>
      <c r="B18" s="24" t="n">
        <f aca="false">B17/B16</f>
        <v>0.162044616844244</v>
      </c>
      <c r="C18" s="24" t="n">
        <f aca="false">C17/C16</f>
        <v>0.147191742280369</v>
      </c>
      <c r="D18" s="24" t="n">
        <f aca="false">D17/D16</f>
        <v>0.2409118516419</v>
      </c>
      <c r="E18" s="24" t="n">
        <f aca="false">E17/E16</f>
        <v>0.15610002335586</v>
      </c>
      <c r="F18" s="24" t="n">
        <f aca="false">F17/F16</f>
        <v>0.176</v>
      </c>
      <c r="G18" s="24" t="n">
        <f aca="false">G17/G16</f>
        <v>0.17</v>
      </c>
      <c r="H18" s="24" t="n">
        <f aca="false">H17/H16</f>
        <v>0.17</v>
      </c>
      <c r="I18" s="24" t="n">
        <f aca="false">I17/I16</f>
        <v>0.17</v>
      </c>
      <c r="J18" s="24" t="n">
        <f aca="false">J17/J16</f>
        <v>0.17</v>
      </c>
      <c r="K18" s="24" t="n">
        <f aca="false">K17/K16</f>
        <v>0.17</v>
      </c>
    </row>
    <row r="19" customFormat="false" ht="15" hidden="false" customHeight="false" outlineLevel="0" collapsed="false">
      <c r="A19" s="36" t="s">
        <v>146</v>
      </c>
      <c r="B19" s="37" t="n">
        <f aca="false">B16-B17</f>
        <v>99.803</v>
      </c>
      <c r="C19" s="37" t="n">
        <f aca="false">C16-C17</f>
        <v>96.995</v>
      </c>
      <c r="D19" s="37" t="n">
        <f aca="false">D16-D17</f>
        <v>93.736</v>
      </c>
      <c r="E19" s="37" t="n">
        <f aca="false">E16-E17</f>
        <v>112.01</v>
      </c>
      <c r="F19" s="37" t="n">
        <f aca="false">F16-F17</f>
        <v>130.032841494576</v>
      </c>
      <c r="G19" s="37" t="n">
        <f aca="false">G16-G17</f>
        <v>133.01150759368</v>
      </c>
      <c r="H19" s="37" t="n">
        <f aca="false">H16-H17</f>
        <v>140.763518958958</v>
      </c>
      <c r="I19" s="37" t="n">
        <f aca="false">I16-I17</f>
        <v>148.248877917057</v>
      </c>
      <c r="J19" s="37" t="n">
        <f aca="false">J16-J17</f>
        <v>155.375873662883</v>
      </c>
      <c r="K19" s="37" t="n">
        <f aca="false">K16-K17</f>
        <v>162.052966292248</v>
      </c>
      <c r="L19" s="3" t="s">
        <v>147</v>
      </c>
    </row>
    <row r="20" customFormat="false" ht="15" hidden="false" customHeight="false" outlineLevel="0" collapsed="false">
      <c r="A20" s="22" t="s">
        <v>148</v>
      </c>
      <c r="B20" s="24" t="n">
        <f aca="false">B19/B5</f>
        <v>0.253096407051997</v>
      </c>
      <c r="C20" s="24" t="n">
        <f aca="false">C19/C5</f>
        <v>0.253062342643203</v>
      </c>
      <c r="D20" s="24" t="n">
        <f aca="false">D19/D5</f>
        <v>0.239712557699439</v>
      </c>
      <c r="E20" s="24" t="n">
        <f aca="false">E19/E5</f>
        <v>0.269150641218182</v>
      </c>
      <c r="F20" s="24" t="n">
        <f aca="false">F19/F5</f>
        <v>0.27265097612426</v>
      </c>
      <c r="G20" s="24" t="n">
        <f aca="false">G19/G5</f>
        <v>0.26311</v>
      </c>
      <c r="H20" s="24" t="n">
        <f aca="false">H19/H5</f>
        <v>0.265185</v>
      </c>
      <c r="I20" s="24" t="n">
        <f aca="false">I19/I5</f>
        <v>0.26726</v>
      </c>
      <c r="J20" s="24" t="n">
        <f aca="false">J19/J5</f>
        <v>0.269335</v>
      </c>
      <c r="K20" s="24" t="n">
        <f aca="false">K19/K5</f>
        <v>0.27141</v>
      </c>
    </row>
    <row r="22" customFormat="false" ht="15" hidden="false" customHeight="false" outlineLevel="0" collapsed="false">
      <c r="A22" s="17" t="s">
        <v>149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customFormat="false" ht="15" hidden="false" customHeight="false" outlineLevel="0" collapsed="false">
      <c r="A23" s="6" t="s">
        <v>150</v>
      </c>
      <c r="B23" s="25" t="n">
        <f aca="false">'Cash Flow Statement'!B7</f>
        <v>11.104</v>
      </c>
      <c r="C23" s="25" t="n">
        <f aca="false">'Cash Flow Statement'!C7</f>
        <v>11.519</v>
      </c>
      <c r="D23" s="25" t="n">
        <f aca="false">'Cash Flow Statement'!D7</f>
        <v>11.445</v>
      </c>
      <c r="E23" s="25" t="n">
        <f aca="false">'Cash Flow Statement'!E7</f>
        <v>11.698</v>
      </c>
      <c r="F23" s="25" t="n">
        <f aca="false">'Cash Flow Statement'!F7</f>
        <v>13.115313915</v>
      </c>
      <c r="G23" s="25" t="n">
        <f aca="false">'Cash Flow Statement'!G7</f>
        <v>14.15500061808</v>
      </c>
      <c r="H23" s="25" t="n">
        <f aca="false">'Cash Flow Statement'!H7</f>
        <v>14.862750648984</v>
      </c>
      <c r="I23" s="25" t="n">
        <f aca="false">'Cash Flow Statement'!I7</f>
        <v>15.5315744281883</v>
      </c>
      <c r="J23" s="25" t="n">
        <f aca="false">'Cash Flow Statement'!J7</f>
        <v>16.1528374053158</v>
      </c>
      <c r="K23" s="25" t="n">
        <f aca="false">'Cash Flow Statement'!K7</f>
        <v>16.7181867145019</v>
      </c>
    </row>
    <row r="24" customFormat="false" ht="15" hidden="false" customHeight="false" outlineLevel="0" collapsed="false">
      <c r="A24" s="5" t="s">
        <v>151</v>
      </c>
      <c r="B24" s="31" t="n">
        <f aca="false">B13+B23</f>
        <v>130.541</v>
      </c>
      <c r="C24" s="31" t="n">
        <f aca="false">C13+C23</f>
        <v>125.82</v>
      </c>
      <c r="D24" s="31" t="n">
        <f aca="false">D13+D23</f>
        <v>134.661</v>
      </c>
      <c r="E24" s="31" t="n">
        <f aca="false">E13+E23</f>
        <v>144.748</v>
      </c>
      <c r="F24" s="31" t="n">
        <f aca="false">F13+F23</f>
        <v>170.022160389</v>
      </c>
      <c r="G24" s="31" t="n">
        <f aca="false">G13+G23</f>
        <v>174.4098290442</v>
      </c>
      <c r="H24" s="31" t="n">
        <f aca="false">H13+H23</f>
        <v>184.457351804355</v>
      </c>
      <c r="I24" s="31" t="n">
        <f aca="false">I13+I23</f>
        <v>194.144680352353</v>
      </c>
      <c r="J24" s="31" t="n">
        <f aca="false">J13+J23</f>
        <v>203.352685191922</v>
      </c>
      <c r="K24" s="31" t="n">
        <f aca="false">K13+K23</f>
        <v>211.962724416006</v>
      </c>
      <c r="L24" s="3" t="s">
        <v>152</v>
      </c>
    </row>
    <row r="25" customFormat="false" ht="15" hidden="false" customHeight="false" outlineLevel="0" collapsed="false">
      <c r="A25" s="22" t="s">
        <v>153</v>
      </c>
      <c r="B25" s="24" t="n">
        <f aca="false">B24/B5</f>
        <v>0.33104674281309</v>
      </c>
      <c r="C25" s="24" t="n">
        <f aca="false">C24/C5</f>
        <v>0.328267477203647</v>
      </c>
      <c r="D25" s="24" t="n">
        <f aca="false">D24/D5</f>
        <v>0.344370708504354</v>
      </c>
      <c r="E25" s="24" t="n">
        <f aca="false">E24/E5</f>
        <v>0.347817311088737</v>
      </c>
      <c r="F25" s="24" t="n">
        <f aca="false">F24/F5</f>
        <v>0.3565</v>
      </c>
      <c r="G25" s="24" t="n">
        <f aca="false">G24/G5</f>
        <v>0.345</v>
      </c>
      <c r="H25" s="24" t="n">
        <f aca="false">H24/H5</f>
        <v>0.3475</v>
      </c>
      <c r="I25" s="24" t="n">
        <f aca="false">I24/I5</f>
        <v>0.35</v>
      </c>
      <c r="J25" s="24" t="n">
        <f aca="false">J24/J5</f>
        <v>0.3525</v>
      </c>
      <c r="K25" s="24" t="n">
        <f aca="false">K24/K5</f>
        <v>0.355</v>
      </c>
    </row>
  </sheetData>
  <mergeCells count="2">
    <mergeCell ref="B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  <col collapsed="false" customWidth="true" hidden="false" outlineLevel="0" max="12" min="12" style="0" width="110"/>
  </cols>
  <sheetData>
    <row r="1" customFormat="false" ht="17.35" hidden="false" customHeight="false" outlineLevel="0" collapsed="false">
      <c r="A1" s="12" t="s">
        <v>154</v>
      </c>
    </row>
    <row r="2" customFormat="false" ht="15" hidden="false" customHeight="false" outlineLevel="0" collapsed="false">
      <c r="A2" s="3" t="s">
        <v>155</v>
      </c>
    </row>
    <row r="3" customFormat="false" ht="15" hidden="false" customHeight="false" outlineLevel="0" collapsed="false">
      <c r="B3" s="13" t="s">
        <v>43</v>
      </c>
      <c r="C3" s="13"/>
      <c r="D3" s="13"/>
      <c r="E3" s="13"/>
      <c r="F3" s="14" t="s">
        <v>44</v>
      </c>
      <c r="G3" s="15" t="s">
        <v>45</v>
      </c>
      <c r="H3" s="15"/>
      <c r="I3" s="15"/>
      <c r="J3" s="15"/>
      <c r="K3" s="15"/>
    </row>
    <row r="4" customFormat="false" ht="15" hidden="false" customHeight="false" outlineLevel="0" collapsed="false">
      <c r="A4" s="4"/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6" t="s">
        <v>54</v>
      </c>
      <c r="K4" s="16" t="s">
        <v>55</v>
      </c>
      <c r="L4" s="4" t="s">
        <v>56</v>
      </c>
    </row>
    <row r="5" customFormat="false" ht="15" hidden="false" customHeight="false" outlineLevel="0" collapsed="false">
      <c r="A5" s="17" t="s">
        <v>156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15" hidden="false" customHeight="false" outlineLevel="0" collapsed="false">
      <c r="A6" s="6" t="s">
        <v>157</v>
      </c>
      <c r="B6" s="26" t="n">
        <f aca="false">23.646+24.658+120.805</f>
        <v>169.109</v>
      </c>
      <c r="C6" s="26" t="n">
        <f aca="false">29.965+31.59+100.544</f>
        <v>162.099</v>
      </c>
      <c r="D6" s="26" t="n">
        <f aca="false">29.943+35.228+91.479</f>
        <v>156.65</v>
      </c>
      <c r="E6" s="26" t="n">
        <f aca="false">35.934+18.763+77.723</f>
        <v>132.42</v>
      </c>
      <c r="F6" s="25" t="n">
        <f aca="false">'Cash Flow Statement'!F26</f>
        <v>168.804730951576</v>
      </c>
      <c r="G6" s="25" t="n">
        <f aca="false">'Cash Flow Statement'!G26</f>
        <v>178.549647083336</v>
      </c>
      <c r="H6" s="25" t="n">
        <f aca="false">'Cash Flow Statement'!H26</f>
        <v>186.036843687278</v>
      </c>
      <c r="I6" s="25" t="n">
        <f aca="false">'Cash Flow Statement'!I26</f>
        <v>191.104372043743</v>
      </c>
      <c r="J6" s="25" t="n">
        <f aca="false">'Cash Flow Statement'!J26</f>
        <v>198.407744829031</v>
      </c>
      <c r="K6" s="25" t="n">
        <f aca="false">'Cash Flow Statement'!K26</f>
        <v>207.403839998332</v>
      </c>
      <c r="L6" s="3" t="s">
        <v>158</v>
      </c>
    </row>
    <row r="7" customFormat="false" ht="15" hidden="false" customHeight="false" outlineLevel="0" collapsed="false">
      <c r="A7" s="6" t="s">
        <v>80</v>
      </c>
      <c r="B7" s="26" t="n">
        <v>28.184</v>
      </c>
      <c r="C7" s="26" t="n">
        <v>29.508</v>
      </c>
      <c r="D7" s="26" t="n">
        <v>33.41</v>
      </c>
      <c r="E7" s="26" t="n">
        <v>39.777</v>
      </c>
      <c r="F7" s="25" t="n">
        <f aca="false">'Income Statement'!F5*Assumptions!F20</f>
        <v>45.584442</v>
      </c>
      <c r="G7" s="25" t="n">
        <f aca="false">'Income Statement'!G5*Assumptions!G20</f>
        <v>48.31950852</v>
      </c>
      <c r="H7" s="25" t="n">
        <f aca="false">'Income Statement'!H5*Assumptions!H20</f>
        <v>50.735483946</v>
      </c>
      <c r="I7" s="25" t="n">
        <f aca="false">'Income Statement'!I5*Assumptions!I20</f>
        <v>53.01858072357</v>
      </c>
      <c r="J7" s="25" t="n">
        <f aca="false">'Income Statement'!J5*Assumptions!J20</f>
        <v>55.1393239525128</v>
      </c>
      <c r="K7" s="25" t="n">
        <f aca="false">'Income Statement'!K5*Assumptions!K20</f>
        <v>57.0692002908507</v>
      </c>
      <c r="L7" s="3" t="s">
        <v>159</v>
      </c>
    </row>
    <row r="8" customFormat="false" ht="15" hidden="false" customHeight="false" outlineLevel="0" collapsed="false">
      <c r="A8" s="6" t="s">
        <v>82</v>
      </c>
      <c r="B8" s="26" t="n">
        <v>4.946</v>
      </c>
      <c r="C8" s="26" t="n">
        <v>6.331</v>
      </c>
      <c r="D8" s="26" t="n">
        <v>7.286</v>
      </c>
      <c r="E8" s="26" t="n">
        <v>5.718</v>
      </c>
      <c r="F8" s="25" t="n">
        <f aca="false">'Income Statement'!F5*Assumptions!F21</f>
        <v>6.552828</v>
      </c>
      <c r="G8" s="25" t="n">
        <f aca="false">'Income Statement'!G5*Assumptions!G21</f>
        <v>6.94599768</v>
      </c>
      <c r="H8" s="25" t="n">
        <f aca="false">'Income Statement'!H5*Assumptions!H21</f>
        <v>7.293297564</v>
      </c>
      <c r="I8" s="25" t="n">
        <f aca="false">'Income Statement'!I5*Assumptions!I21</f>
        <v>7.62149595438</v>
      </c>
      <c r="J8" s="25" t="n">
        <f aca="false">'Income Statement'!J5*Assumptions!J21</f>
        <v>7.9263557925552</v>
      </c>
      <c r="K8" s="25" t="n">
        <f aca="false">'Income Statement'!K5*Assumptions!K21</f>
        <v>8.20377824529463</v>
      </c>
      <c r="L8" s="3" t="s">
        <v>160</v>
      </c>
    </row>
    <row r="9" customFormat="false" ht="15" hidden="false" customHeight="false" outlineLevel="0" collapsed="false">
      <c r="A9" s="6" t="s">
        <v>83</v>
      </c>
      <c r="B9" s="26" t="n">
        <f aca="false">32.748+21.223</f>
        <v>53.971</v>
      </c>
      <c r="C9" s="26" t="n">
        <f aca="false">31.477+14.695</f>
        <v>46.172</v>
      </c>
      <c r="D9" s="26" t="n">
        <f aca="false">32.833+14.287</f>
        <v>47.12</v>
      </c>
      <c r="E9" s="26" t="n">
        <f aca="false">33.18+14.585</f>
        <v>47.765</v>
      </c>
      <c r="F9" s="25" t="n">
        <f aca="false">'Income Statement'!F5*Assumptions!F22</f>
        <v>54.73869</v>
      </c>
      <c r="G9" s="25" t="n">
        <f aca="false">'Income Statement'!G5*Assumptions!G22</f>
        <v>58.0230114</v>
      </c>
      <c r="H9" s="25" t="n">
        <f aca="false">'Income Statement'!H5*Assumptions!H22</f>
        <v>60.92416197</v>
      </c>
      <c r="I9" s="25" t="n">
        <f aca="false">'Income Statement'!I5*Assumptions!I22</f>
        <v>63.66574925865</v>
      </c>
      <c r="J9" s="25" t="n">
        <f aca="false">'Income Statement'!J5*Assumptions!J22</f>
        <v>66.212379228996</v>
      </c>
      <c r="K9" s="25" t="n">
        <f aca="false">'Income Statement'!K5*Assumptions!K22</f>
        <v>68.5298125020109</v>
      </c>
      <c r="L9" s="3" t="s">
        <v>161</v>
      </c>
    </row>
    <row r="10" customFormat="false" ht="15" hidden="false" customHeight="false" outlineLevel="0" collapsed="false">
      <c r="A10" s="6" t="s">
        <v>162</v>
      </c>
      <c r="B10" s="26" t="n">
        <v>42.117</v>
      </c>
      <c r="C10" s="26" t="n">
        <v>43.715</v>
      </c>
      <c r="D10" s="26" t="n">
        <v>45.68</v>
      </c>
      <c r="E10" s="26" t="n">
        <v>49.834</v>
      </c>
      <c r="F10" s="25" t="n">
        <f aca="false">E10-'Cash Flow Statement'!F13-'Cash Flow Statement'!F7</f>
        <v>47.687857723</v>
      </c>
      <c r="G10" s="25" t="n">
        <f aca="false">F10-'Cash Flow Statement'!G13-'Cash Flow Statement'!G7</f>
        <v>48.69892919572</v>
      </c>
      <c r="H10" s="25" t="n">
        <f aca="false">G10-'Cash Flow Statement'!H13-'Cash Flow Statement'!H7</f>
        <v>49.760554242076</v>
      </c>
      <c r="I10" s="25" t="n">
        <f aca="false">H10-'Cash Flow Statement'!I13-'Cash Flow Statement'!I7</f>
        <v>50.869952415518</v>
      </c>
      <c r="J10" s="25" t="n">
        <f aca="false">I10-'Cash Flow Statement'!J13-'Cash Flow Statement'!J7</f>
        <v>52.0237265158977</v>
      </c>
      <c r="K10" s="25" t="n">
        <f aca="false">J10-'Cash Flow Statement'!K13-'Cash Flow Statement'!K7</f>
        <v>53.2178827097907</v>
      </c>
      <c r="L10" s="3" t="s">
        <v>163</v>
      </c>
    </row>
    <row r="11" customFormat="false" ht="15" hidden="false" customHeight="false" outlineLevel="0" collapsed="false">
      <c r="A11" s="6" t="s">
        <v>164</v>
      </c>
      <c r="B11" s="26" t="n">
        <v>54.428</v>
      </c>
      <c r="C11" s="26" t="n">
        <v>64.758</v>
      </c>
      <c r="D11" s="26" t="n">
        <v>74.834</v>
      </c>
      <c r="E11" s="26" t="n">
        <v>83.727</v>
      </c>
      <c r="F11" s="35" t="n">
        <f aca="false">E11</f>
        <v>83.727</v>
      </c>
      <c r="G11" s="35" t="n">
        <f aca="false">F11</f>
        <v>83.727</v>
      </c>
      <c r="H11" s="35" t="n">
        <f aca="false">G11</f>
        <v>83.727</v>
      </c>
      <c r="I11" s="35" t="n">
        <f aca="false">H11</f>
        <v>83.727</v>
      </c>
      <c r="J11" s="35" t="n">
        <f aca="false">I11</f>
        <v>83.727</v>
      </c>
      <c r="K11" s="35" t="n">
        <f aca="false">J11</f>
        <v>83.727</v>
      </c>
      <c r="L11" s="3" t="s">
        <v>165</v>
      </c>
    </row>
    <row r="12" customFormat="false" ht="15" hidden="false" customHeight="false" outlineLevel="0" collapsed="false">
      <c r="A12" s="36" t="s">
        <v>166</v>
      </c>
      <c r="B12" s="37" t="n">
        <f aca="false">SUM(B6:B11)</f>
        <v>352.755</v>
      </c>
      <c r="C12" s="37" t="n">
        <f aca="false">SUM(C6:C11)</f>
        <v>352.583</v>
      </c>
      <c r="D12" s="37" t="n">
        <f aca="false">SUM(D6:D11)</f>
        <v>364.98</v>
      </c>
      <c r="E12" s="37" t="n">
        <f aca="false">SUM(E6:E11)</f>
        <v>359.241</v>
      </c>
      <c r="F12" s="37" t="n">
        <f aca="false">SUM(F6:F11)</f>
        <v>407.095548674576</v>
      </c>
      <c r="G12" s="37" t="n">
        <f aca="false">SUM(G6:G11)</f>
        <v>424.264093879056</v>
      </c>
      <c r="H12" s="37" t="n">
        <f aca="false">SUM(H6:H11)</f>
        <v>438.477341409353</v>
      </c>
      <c r="I12" s="37" t="n">
        <f aca="false">SUM(I6:I11)</f>
        <v>450.007150395861</v>
      </c>
      <c r="J12" s="37" t="n">
        <f aca="false">SUM(J6:J11)</f>
        <v>463.436530318993</v>
      </c>
      <c r="K12" s="37" t="n">
        <f aca="false">SUM(K6:K11)</f>
        <v>478.151513746279</v>
      </c>
      <c r="L12" s="3" t="s">
        <v>167</v>
      </c>
    </row>
    <row r="14" customFormat="false" ht="15" hidden="false" customHeight="false" outlineLevel="0" collapsed="false">
      <c r="A14" s="17" t="s">
        <v>168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15" hidden="false" customHeight="false" outlineLevel="0" collapsed="false">
      <c r="A15" s="6" t="s">
        <v>84</v>
      </c>
      <c r="B15" s="26" t="n">
        <v>64.115</v>
      </c>
      <c r="C15" s="26" t="n">
        <v>62.611</v>
      </c>
      <c r="D15" s="26" t="n">
        <v>68.96</v>
      </c>
      <c r="E15" s="26" t="n">
        <v>69.86</v>
      </c>
      <c r="F15" s="25" t="n">
        <f aca="false">'Income Statement'!F5*Assumptions!F23</f>
        <v>80.05956</v>
      </c>
      <c r="G15" s="25" t="n">
        <f aca="false">'Income Statement'!G5*Assumptions!G23</f>
        <v>84.8631336</v>
      </c>
      <c r="H15" s="25" t="n">
        <f aca="false">'Income Statement'!H5*Assumptions!H23</f>
        <v>89.10629028</v>
      </c>
      <c r="I15" s="25" t="n">
        <f aca="false">'Income Statement'!I5*Assumptions!I23</f>
        <v>93.1160733426</v>
      </c>
      <c r="J15" s="25" t="n">
        <f aca="false">'Income Statement'!J5*Assumptions!J23</f>
        <v>96.840716276304</v>
      </c>
      <c r="K15" s="25" t="n">
        <f aca="false">'Income Statement'!K5*Assumptions!K23</f>
        <v>100.230141345975</v>
      </c>
      <c r="L15" s="3" t="s">
        <v>169</v>
      </c>
    </row>
    <row r="16" customFormat="false" ht="15" hidden="false" customHeight="false" outlineLevel="0" collapsed="false">
      <c r="A16" s="6" t="s">
        <v>85</v>
      </c>
      <c r="B16" s="26" t="n">
        <f aca="false">60.845+7.912</f>
        <v>68.757</v>
      </c>
      <c r="C16" s="26" t="n">
        <f aca="false">58.829+8.061</f>
        <v>66.89</v>
      </c>
      <c r="D16" s="26" t="n">
        <f aca="false">78.304+8.249</f>
        <v>86.553</v>
      </c>
      <c r="E16" s="26" t="n">
        <f aca="false">66.387+9.055</f>
        <v>75.442</v>
      </c>
      <c r="F16" s="25" t="n">
        <f aca="false">'Income Statement'!F5*Assumptions!F24</f>
        <v>86.456532</v>
      </c>
      <c r="G16" s="25" t="n">
        <f aca="false">'Income Statement'!G5*Assumptions!G24</f>
        <v>91.64392392</v>
      </c>
      <c r="H16" s="25" t="n">
        <f aca="false">'Income Statement'!H5*Assumptions!H24</f>
        <v>96.226120116</v>
      </c>
      <c r="I16" s="25" t="n">
        <f aca="false">'Income Statement'!I5*Assumptions!I24</f>
        <v>100.55629552122</v>
      </c>
      <c r="J16" s="25" t="n">
        <f aca="false">'Income Statement'!J5*Assumptions!J24</f>
        <v>104.578547342069</v>
      </c>
      <c r="K16" s="25" t="n">
        <f aca="false">'Income Statement'!K5*Assumptions!K24</f>
        <v>108.238796499041</v>
      </c>
      <c r="L16" s="3" t="s">
        <v>170</v>
      </c>
    </row>
    <row r="17" customFormat="false" ht="15" hidden="false" customHeight="false" outlineLevel="0" collapsed="false">
      <c r="A17" s="6" t="s">
        <v>114</v>
      </c>
      <c r="B17" s="26" t="n">
        <f aca="false">9.982+11.128+98.959</f>
        <v>120.069</v>
      </c>
      <c r="C17" s="26" t="n">
        <f aca="false">5.985+9.822+95.281</f>
        <v>111.088</v>
      </c>
      <c r="D17" s="26" t="n">
        <f aca="false">9.967+10.912+85.75</f>
        <v>106.629</v>
      </c>
      <c r="E17" s="26" t="n">
        <f aca="false">7.979+12.35+78.328</f>
        <v>98.657</v>
      </c>
      <c r="F17" s="25" t="n">
        <f aca="false">E17+'Cash Flow Statement'!F18</f>
        <v>84.657</v>
      </c>
      <c r="G17" s="25" t="n">
        <f aca="false">F17+'Cash Flow Statement'!G18</f>
        <v>79.657</v>
      </c>
      <c r="H17" s="25" t="n">
        <f aca="false">G17+'Cash Flow Statement'!H18</f>
        <v>74.657</v>
      </c>
      <c r="I17" s="25" t="n">
        <f aca="false">H17+'Cash Flow Statement'!I18</f>
        <v>69.657</v>
      </c>
      <c r="J17" s="25" t="n">
        <f aca="false">I17+'Cash Flow Statement'!J18</f>
        <v>64.657</v>
      </c>
      <c r="K17" s="25" t="n">
        <f aca="false">J17+'Cash Flow Statement'!K18</f>
        <v>59.657</v>
      </c>
      <c r="L17" s="3" t="s">
        <v>171</v>
      </c>
    </row>
    <row r="18" customFormat="false" ht="15" hidden="false" customHeight="false" outlineLevel="0" collapsed="false">
      <c r="A18" s="6" t="s">
        <v>172</v>
      </c>
      <c r="B18" s="26" t="n">
        <v>49.142</v>
      </c>
      <c r="C18" s="26" t="n">
        <v>49.848</v>
      </c>
      <c r="D18" s="26" t="n">
        <v>45.888</v>
      </c>
      <c r="E18" s="26" t="n">
        <v>41.549</v>
      </c>
      <c r="F18" s="35" t="n">
        <f aca="false">E18</f>
        <v>41.549</v>
      </c>
      <c r="G18" s="35" t="n">
        <f aca="false">F18</f>
        <v>41.549</v>
      </c>
      <c r="H18" s="35" t="n">
        <f aca="false">G18</f>
        <v>41.549</v>
      </c>
      <c r="I18" s="35" t="n">
        <f aca="false">H18</f>
        <v>41.549</v>
      </c>
      <c r="J18" s="35" t="n">
        <f aca="false">I18</f>
        <v>41.549</v>
      </c>
      <c r="K18" s="35" t="n">
        <f aca="false">J18</f>
        <v>41.549</v>
      </c>
      <c r="L18" s="3" t="s">
        <v>173</v>
      </c>
    </row>
    <row r="19" customFormat="false" ht="15" hidden="false" customHeight="false" outlineLevel="0" collapsed="false">
      <c r="A19" s="36" t="s">
        <v>174</v>
      </c>
      <c r="B19" s="37" t="n">
        <f aca="false">SUM(B15:B18)</f>
        <v>302.083</v>
      </c>
      <c r="C19" s="37" t="n">
        <f aca="false">SUM(C15:C18)</f>
        <v>290.437</v>
      </c>
      <c r="D19" s="37" t="n">
        <f aca="false">SUM(D15:D18)</f>
        <v>308.03</v>
      </c>
      <c r="E19" s="37" t="n">
        <f aca="false">SUM(E15:E18)</f>
        <v>285.508</v>
      </c>
      <c r="F19" s="37" t="n">
        <f aca="false">SUM(F15:F18)</f>
        <v>292.722092</v>
      </c>
      <c r="G19" s="37" t="n">
        <f aca="false">SUM(G15:G18)</f>
        <v>297.71305752</v>
      </c>
      <c r="H19" s="37" t="n">
        <f aca="false">SUM(H15:H18)</f>
        <v>301.538410396</v>
      </c>
      <c r="I19" s="37" t="n">
        <f aca="false">SUM(I15:I18)</f>
        <v>304.87836886382</v>
      </c>
      <c r="J19" s="37" t="n">
        <f aca="false">SUM(J15:J18)</f>
        <v>307.625263618373</v>
      </c>
      <c r="K19" s="37" t="n">
        <f aca="false">SUM(K15:K18)</f>
        <v>309.674937845016</v>
      </c>
    </row>
    <row r="20" customFormat="false" ht="15" hidden="false" customHeight="false" outlineLevel="0" collapsed="false">
      <c r="A20" s="6" t="s">
        <v>175</v>
      </c>
      <c r="B20" s="26" t="n">
        <v>50.672</v>
      </c>
      <c r="C20" s="26" t="n">
        <v>62.146</v>
      </c>
      <c r="D20" s="26" t="n">
        <v>56.95</v>
      </c>
      <c r="E20" s="26" t="n">
        <v>73.733</v>
      </c>
      <c r="F20" s="25" t="n">
        <f aca="false">E20+'Income Statement'!F19+'Cash Flow Statement'!F8+'Cash Flow Statement'!F19+'Cash Flow Statement'!F20</f>
        <v>114.373456674576</v>
      </c>
      <c r="G20" s="25" t="n">
        <f aca="false">F20+'Income Statement'!G19+'Cash Flow Statement'!G8+'Cash Flow Statement'!G19+'Cash Flow Statement'!G20</f>
        <v>126.551036359056</v>
      </c>
      <c r="H20" s="25" t="n">
        <f aca="false">G20+'Income Statement'!H19+'Cash Flow Statement'!H8+'Cash Flow Statement'!H19+'Cash Flow Statement'!H20</f>
        <v>136.938931013354</v>
      </c>
      <c r="I20" s="25" t="n">
        <f aca="false">H20+'Income Statement'!I19+'Cash Flow Statement'!I8+'Cash Flow Statement'!I19+'Cash Flow Statement'!I20</f>
        <v>145.128781532041</v>
      </c>
      <c r="J20" s="25" t="n">
        <f aca="false">I20+'Income Statement'!J19+'Cash Flow Statement'!J8+'Cash Flow Statement'!J19+'Cash Flow Statement'!J20</f>
        <v>155.81126670062</v>
      </c>
      <c r="K20" s="25" t="n">
        <f aca="false">J20+'Income Statement'!K19+'Cash Flow Statement'!K8+'Cash Flow Statement'!K19+'Cash Flow Statement'!K20</f>
        <v>168.476575901263</v>
      </c>
      <c r="L20" s="3" t="s">
        <v>176</v>
      </c>
    </row>
    <row r="21" customFormat="false" ht="15" hidden="false" customHeight="false" outlineLevel="0" collapsed="false">
      <c r="A21" s="36" t="s">
        <v>177</v>
      </c>
      <c r="B21" s="37" t="n">
        <f aca="false">B19+B20</f>
        <v>352.755</v>
      </c>
      <c r="C21" s="37" t="n">
        <f aca="false">C19+C20</f>
        <v>352.583</v>
      </c>
      <c r="D21" s="37" t="n">
        <f aca="false">D19+D20</f>
        <v>364.98</v>
      </c>
      <c r="E21" s="37" t="n">
        <f aca="false">E19+E20</f>
        <v>359.241</v>
      </c>
      <c r="F21" s="37" t="n">
        <f aca="false">F19+F20</f>
        <v>407.095548674576</v>
      </c>
      <c r="G21" s="37" t="n">
        <f aca="false">G19+G20</f>
        <v>424.264093879056</v>
      </c>
      <c r="H21" s="37" t="n">
        <f aca="false">H19+H20</f>
        <v>438.477341409354</v>
      </c>
      <c r="I21" s="37" t="n">
        <f aca="false">I19+I20</f>
        <v>450.007150395861</v>
      </c>
      <c r="J21" s="37" t="n">
        <f aca="false">J19+J20</f>
        <v>463.436530318993</v>
      </c>
      <c r="K21" s="37" t="n">
        <f aca="false">K19+K20</f>
        <v>478.151513746279</v>
      </c>
    </row>
    <row r="23" customFormat="false" ht="15" hidden="false" customHeight="false" outlineLevel="0" collapsed="false">
      <c r="A23" s="5" t="s">
        <v>178</v>
      </c>
      <c r="B23" s="41" t="n">
        <f aca="false">ROUND(B12-B21,3)</f>
        <v>0</v>
      </c>
      <c r="C23" s="41" t="n">
        <f aca="false">ROUND(C12-C21,3)</f>
        <v>0</v>
      </c>
      <c r="D23" s="41" t="n">
        <f aca="false">ROUND(D12-D21,3)</f>
        <v>0</v>
      </c>
      <c r="E23" s="41" t="n">
        <f aca="false">ROUND(E12-E21,3)</f>
        <v>0</v>
      </c>
      <c r="F23" s="41" t="n">
        <f aca="false">ROUND(F12-F21,3)</f>
        <v>0</v>
      </c>
      <c r="G23" s="41" t="n">
        <f aca="false">ROUND(G12-G21,3)</f>
        <v>0</v>
      </c>
      <c r="H23" s="41" t="n">
        <f aca="false">ROUND(H12-H21,3)</f>
        <v>0</v>
      </c>
      <c r="I23" s="41" t="n">
        <f aca="false">ROUND(I12-I21,3)</f>
        <v>0</v>
      </c>
      <c r="J23" s="41" t="n">
        <f aca="false">ROUND(J12-J21,3)</f>
        <v>0</v>
      </c>
      <c r="K23" s="41" t="n">
        <f aca="false">ROUND(K12-K21,3)</f>
        <v>0</v>
      </c>
      <c r="L23" s="3" t="s">
        <v>179</v>
      </c>
    </row>
    <row r="25" customFormat="false" ht="15" hidden="false" customHeight="false" outlineLevel="0" collapsed="false">
      <c r="A25" s="17" t="s">
        <v>180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15" hidden="false" customHeight="false" outlineLevel="0" collapsed="false">
      <c r="A26" s="5" t="s">
        <v>181</v>
      </c>
      <c r="B26" s="31" t="n">
        <f aca="false">B7+B8+B9-B15-B16</f>
        <v>-45.771</v>
      </c>
      <c r="C26" s="31" t="n">
        <f aca="false">C7+C8+C9-C15-C16</f>
        <v>-47.49</v>
      </c>
      <c r="D26" s="31" t="n">
        <f aca="false">D7+D8+D9-D15-D16</f>
        <v>-67.697</v>
      </c>
      <c r="E26" s="31" t="n">
        <f aca="false">E7+E8+E9-E15-E16</f>
        <v>-52.042</v>
      </c>
      <c r="F26" s="31" t="n">
        <f aca="false">F7+F8+F9-F15-F16</f>
        <v>-59.640132</v>
      </c>
      <c r="G26" s="31" t="n">
        <f aca="false">G7+G8+G9-G15-G16</f>
        <v>-63.21853992</v>
      </c>
      <c r="H26" s="31" t="n">
        <f aca="false">H7+H8+H9-H15-H16</f>
        <v>-66.379466916</v>
      </c>
      <c r="I26" s="31" t="n">
        <f aca="false">I7+I8+I9-I15-I16</f>
        <v>-69.36654292722</v>
      </c>
      <c r="J26" s="31" t="n">
        <f aca="false">J7+J8+J9-J15-J16</f>
        <v>-72.1412046443088</v>
      </c>
      <c r="K26" s="31" t="n">
        <f aca="false">K7+K8+K9-K15-K16</f>
        <v>-74.6661468068596</v>
      </c>
      <c r="L26" s="3" t="s">
        <v>182</v>
      </c>
    </row>
    <row r="27" customFormat="false" ht="15" hidden="false" customHeight="false" outlineLevel="0" collapsed="false">
      <c r="A27" s="6" t="s">
        <v>183</v>
      </c>
      <c r="C27" s="35" t="n">
        <f aca="false">C26-B26</f>
        <v>-1.719</v>
      </c>
      <c r="D27" s="35" t="n">
        <f aca="false">D26-C26</f>
        <v>-20.207</v>
      </c>
      <c r="E27" s="35" t="n">
        <f aca="false">E26-D26</f>
        <v>15.655</v>
      </c>
      <c r="F27" s="35" t="n">
        <f aca="false">F26-E26</f>
        <v>-7.59813199999999</v>
      </c>
      <c r="G27" s="35" t="n">
        <f aca="false">G26-F26</f>
        <v>-3.57840791999999</v>
      </c>
      <c r="H27" s="35" t="n">
        <f aca="false">H26-G26</f>
        <v>-3.16092699600002</v>
      </c>
      <c r="I27" s="35" t="n">
        <f aca="false">I26-H26</f>
        <v>-2.98707601121998</v>
      </c>
      <c r="J27" s="35" t="n">
        <f aca="false">J26-I26</f>
        <v>-2.77466171708882</v>
      </c>
      <c r="K27" s="35" t="n">
        <f aca="false">K26-J26</f>
        <v>-2.5249421625508</v>
      </c>
      <c r="L27" s="3" t="s">
        <v>184</v>
      </c>
    </row>
    <row r="28" customFormat="false" ht="15" hidden="false" customHeight="false" outlineLevel="0" collapsed="false">
      <c r="A28" s="6" t="s">
        <v>185</v>
      </c>
      <c r="B28" s="35" t="n">
        <f aca="false">B6-B17</f>
        <v>49.04</v>
      </c>
      <c r="C28" s="35" t="n">
        <f aca="false">C6-C17</f>
        <v>51.011</v>
      </c>
      <c r="D28" s="35" t="n">
        <f aca="false">D6-D17</f>
        <v>50.021</v>
      </c>
      <c r="E28" s="35" t="n">
        <f aca="false">E6-E17</f>
        <v>33.763</v>
      </c>
      <c r="F28" s="35" t="n">
        <f aca="false">F6-F17</f>
        <v>84.1477309515759</v>
      </c>
      <c r="G28" s="35" t="n">
        <f aca="false">G6-G17</f>
        <v>98.8926470833355</v>
      </c>
      <c r="H28" s="35" t="n">
        <f aca="false">H6-H17</f>
        <v>111.379843687277</v>
      </c>
      <c r="I28" s="35" t="n">
        <f aca="false">I6-I17</f>
        <v>121.447372043743</v>
      </c>
      <c r="J28" s="35" t="n">
        <f aca="false">J6-J17</f>
        <v>133.750744829031</v>
      </c>
      <c r="K28" s="35" t="n">
        <f aca="false">K6-K17</f>
        <v>147.746839998332</v>
      </c>
      <c r="L28" s="3" t="s">
        <v>186</v>
      </c>
    </row>
  </sheetData>
  <mergeCells count="2">
    <mergeCell ref="B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1"/>
    <col collapsed="false" customWidth="true" hidden="false" outlineLevel="0" max="12" min="12" style="0" width="110"/>
  </cols>
  <sheetData>
    <row r="1" customFormat="false" ht="17.35" hidden="false" customHeight="false" outlineLevel="0" collapsed="false">
      <c r="A1" s="12" t="s">
        <v>187</v>
      </c>
    </row>
    <row r="2" customFormat="false" ht="15" hidden="false" customHeight="false" outlineLevel="0" collapsed="false">
      <c r="A2" s="3" t="s">
        <v>188</v>
      </c>
    </row>
    <row r="3" customFormat="false" ht="15" hidden="false" customHeight="false" outlineLevel="0" collapsed="false">
      <c r="B3" s="13" t="s">
        <v>43</v>
      </c>
      <c r="C3" s="13"/>
      <c r="D3" s="13"/>
      <c r="E3" s="13"/>
      <c r="F3" s="14" t="s">
        <v>44</v>
      </c>
      <c r="G3" s="15" t="s">
        <v>45</v>
      </c>
      <c r="H3" s="15"/>
      <c r="I3" s="15"/>
      <c r="J3" s="15"/>
      <c r="K3" s="15"/>
    </row>
    <row r="4" customFormat="false" ht="15" hidden="false" customHeight="false" outlineLevel="0" collapsed="false">
      <c r="A4" s="4"/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6" t="s">
        <v>54</v>
      </c>
      <c r="K4" s="16" t="s">
        <v>55</v>
      </c>
      <c r="L4" s="4" t="s">
        <v>56</v>
      </c>
    </row>
    <row r="5" customFormat="false" ht="15" hidden="false" customHeight="false" outlineLevel="0" collapsed="false">
      <c r="A5" s="17" t="s">
        <v>189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15" hidden="false" customHeight="false" outlineLevel="0" collapsed="false">
      <c r="A6" s="6" t="s">
        <v>146</v>
      </c>
      <c r="B6" s="25" t="n">
        <f aca="false">'Income Statement'!B19</f>
        <v>99.803</v>
      </c>
      <c r="C6" s="25" t="n">
        <f aca="false">'Income Statement'!C19</f>
        <v>96.995</v>
      </c>
      <c r="D6" s="25" t="n">
        <f aca="false">'Income Statement'!D19</f>
        <v>93.736</v>
      </c>
      <c r="E6" s="25" t="n">
        <f aca="false">'Income Statement'!E19</f>
        <v>112.01</v>
      </c>
      <c r="F6" s="25" t="n">
        <f aca="false">'Income Statement'!F19</f>
        <v>130.032841494576</v>
      </c>
      <c r="G6" s="25" t="n">
        <f aca="false">'Income Statement'!G19</f>
        <v>133.01150759368</v>
      </c>
      <c r="H6" s="25" t="n">
        <f aca="false">'Income Statement'!H19</f>
        <v>140.763518958958</v>
      </c>
      <c r="I6" s="25" t="n">
        <f aca="false">'Income Statement'!I19</f>
        <v>148.248877917057</v>
      </c>
      <c r="J6" s="25" t="n">
        <f aca="false">'Income Statement'!J19</f>
        <v>155.375873662883</v>
      </c>
      <c r="K6" s="25" t="n">
        <f aca="false">'Income Statement'!K19</f>
        <v>162.052966292248</v>
      </c>
      <c r="L6" s="3" t="s">
        <v>190</v>
      </c>
    </row>
    <row r="7" customFormat="false" ht="15" hidden="false" customHeight="false" outlineLevel="0" collapsed="false">
      <c r="A7" s="6" t="s">
        <v>191</v>
      </c>
      <c r="B7" s="26" t="n">
        <v>11.104</v>
      </c>
      <c r="C7" s="26" t="n">
        <v>11.519</v>
      </c>
      <c r="D7" s="26" t="n">
        <v>11.445</v>
      </c>
      <c r="E7" s="26" t="n">
        <v>11.698</v>
      </c>
      <c r="F7" s="25" t="n">
        <f aca="false">'Income Statement'!F5*Assumptions!F15</f>
        <v>13.115313915</v>
      </c>
      <c r="G7" s="25" t="n">
        <f aca="false">'Income Statement'!G5*Assumptions!G15</f>
        <v>14.15500061808</v>
      </c>
      <c r="H7" s="25" t="n">
        <f aca="false">'Income Statement'!H5*Assumptions!H15</f>
        <v>14.862750648984</v>
      </c>
      <c r="I7" s="25" t="n">
        <f aca="false">'Income Statement'!I5*Assumptions!I15</f>
        <v>15.5315744281883</v>
      </c>
      <c r="J7" s="25" t="n">
        <f aca="false">'Income Statement'!J5*Assumptions!J15</f>
        <v>16.1528374053158</v>
      </c>
      <c r="K7" s="25" t="n">
        <f aca="false">'Income Statement'!K5*Assumptions!K15</f>
        <v>16.7181867145019</v>
      </c>
      <c r="L7" s="3" t="s">
        <v>192</v>
      </c>
    </row>
    <row r="8" customFormat="false" ht="15" hidden="false" customHeight="false" outlineLevel="0" collapsed="false">
      <c r="A8" s="6" t="s">
        <v>193</v>
      </c>
      <c r="B8" s="26" t="n">
        <v>9.038</v>
      </c>
      <c r="C8" s="26" t="n">
        <v>10.833</v>
      </c>
      <c r="D8" s="26" t="n">
        <v>11.688</v>
      </c>
      <c r="E8" s="26" t="n">
        <v>12.863</v>
      </c>
      <c r="F8" s="25" t="n">
        <f aca="false">'Income Statement'!F5*Assumptions!F17</f>
        <v>14.30761518</v>
      </c>
      <c r="G8" s="25" t="n">
        <f aca="false">'Income Statement'!G5*Assumptions!G17</f>
        <v>15.1660720908</v>
      </c>
      <c r="H8" s="25" t="n">
        <f aca="false">'Income Statement'!H5*Assumptions!H17</f>
        <v>15.92437569534</v>
      </c>
      <c r="I8" s="25" t="n">
        <f aca="false">'Income Statement'!I5*Assumptions!I17</f>
        <v>16.6409726016303</v>
      </c>
      <c r="J8" s="25" t="n">
        <f aca="false">'Income Statement'!J5*Assumptions!J17</f>
        <v>17.3066115056955</v>
      </c>
      <c r="K8" s="25" t="n">
        <f aca="false">'Income Statement'!K5*Assumptions!K17</f>
        <v>17.9123429083949</v>
      </c>
      <c r="L8" s="3" t="s">
        <v>194</v>
      </c>
    </row>
    <row r="9" customFormat="false" ht="15" hidden="false" customHeight="false" outlineLevel="0" collapsed="false">
      <c r="A9" s="6" t="s">
        <v>195</v>
      </c>
      <c r="B9" s="26" t="n">
        <v>2.206</v>
      </c>
      <c r="C9" s="26" t="n">
        <v>-8.804</v>
      </c>
      <c r="D9" s="26" t="n">
        <v>1.385</v>
      </c>
      <c r="E9" s="26" t="n">
        <v>-25.089</v>
      </c>
      <c r="F9" s="25" t="n">
        <f aca="false">-'Balance Sheet'!F27</f>
        <v>7.59813199999999</v>
      </c>
      <c r="G9" s="25" t="n">
        <f aca="false">-'Balance Sheet'!G27</f>
        <v>3.57840791999999</v>
      </c>
      <c r="H9" s="25" t="n">
        <f aca="false">-'Balance Sheet'!H27</f>
        <v>3.16092699600002</v>
      </c>
      <c r="I9" s="25" t="n">
        <f aca="false">-'Balance Sheet'!I27</f>
        <v>2.98707601121998</v>
      </c>
      <c r="J9" s="25" t="n">
        <f aca="false">-'Balance Sheet'!J27</f>
        <v>2.77466171708882</v>
      </c>
      <c r="K9" s="25" t="n">
        <f aca="false">-'Balance Sheet'!K27</f>
        <v>2.5249421625508</v>
      </c>
      <c r="L9" s="3" t="s">
        <v>196</v>
      </c>
    </row>
    <row r="10" customFormat="false" ht="15" hidden="false" customHeight="false" outlineLevel="0" collapsed="false">
      <c r="A10" s="36" t="s">
        <v>197</v>
      </c>
      <c r="B10" s="37" t="n">
        <f aca="false">SUM(B6:B9)</f>
        <v>122.151</v>
      </c>
      <c r="C10" s="37" t="n">
        <f aca="false">SUM(C6:C9)</f>
        <v>110.543</v>
      </c>
      <c r="D10" s="37" t="n">
        <f aca="false">SUM(D6:D9)</f>
        <v>118.254</v>
      </c>
      <c r="E10" s="37" t="n">
        <f aca="false">SUM(E6:E9)</f>
        <v>111.482</v>
      </c>
      <c r="F10" s="37" t="n">
        <f aca="false">SUM(F6:F9)</f>
        <v>165.053902589576</v>
      </c>
      <c r="G10" s="37" t="n">
        <f aca="false">SUM(G6:G9)</f>
        <v>165.91098822256</v>
      </c>
      <c r="H10" s="37" t="n">
        <f aca="false">SUM(H6:H9)</f>
        <v>174.711572299282</v>
      </c>
      <c r="I10" s="37" t="n">
        <f aca="false">SUM(I6:I9)</f>
        <v>183.408500958096</v>
      </c>
      <c r="J10" s="37" t="n">
        <f aca="false">SUM(J6:J9)</f>
        <v>191.609984290983</v>
      </c>
      <c r="K10" s="37" t="n">
        <f aca="false">SUM(K6:K9)</f>
        <v>199.208438077696</v>
      </c>
      <c r="L10" s="3" t="s">
        <v>198</v>
      </c>
    </row>
    <row r="12" customFormat="false" ht="15" hidden="false" customHeight="false" outlineLevel="0" collapsed="false">
      <c r="A12" s="17" t="s">
        <v>199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customFormat="false" ht="15" hidden="false" customHeight="false" outlineLevel="0" collapsed="false">
      <c r="A13" s="6" t="s">
        <v>200</v>
      </c>
      <c r="B13" s="26" t="n">
        <v>-10.708</v>
      </c>
      <c r="C13" s="26" t="n">
        <v>-10.959</v>
      </c>
      <c r="D13" s="26" t="n">
        <v>-9.447</v>
      </c>
      <c r="E13" s="26" t="n">
        <v>-12.715</v>
      </c>
      <c r="F13" s="25" t="n">
        <f aca="false">-'Income Statement'!F5*Assumptions!F16</f>
        <v>-10.969171638</v>
      </c>
      <c r="G13" s="25" t="n">
        <f aca="false">-'Income Statement'!G5*Assumptions!G16</f>
        <v>-15.1660720908</v>
      </c>
      <c r="H13" s="25" t="n">
        <f aca="false">-'Income Statement'!H5*Assumptions!H16</f>
        <v>-15.92437569534</v>
      </c>
      <c r="I13" s="25" t="n">
        <f aca="false">-'Income Statement'!I5*Assumptions!I16</f>
        <v>-16.6409726016303</v>
      </c>
      <c r="J13" s="25" t="n">
        <f aca="false">-'Income Statement'!J5*Assumptions!J16</f>
        <v>-17.3066115056955</v>
      </c>
      <c r="K13" s="25" t="n">
        <f aca="false">-'Income Statement'!K5*Assumptions!K16</f>
        <v>-17.9123429083949</v>
      </c>
      <c r="L13" s="3" t="s">
        <v>201</v>
      </c>
    </row>
    <row r="14" customFormat="false" ht="15" hidden="false" customHeight="false" outlineLevel="0" collapsed="false">
      <c r="A14" s="6" t="s">
        <v>202</v>
      </c>
      <c r="B14" s="26" t="n">
        <v>-11.646</v>
      </c>
      <c r="C14" s="26" t="n">
        <v>14.664</v>
      </c>
      <c r="D14" s="26" t="n">
        <v>12.382</v>
      </c>
      <c r="E14" s="26" t="n">
        <v>27.91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3" t="s">
        <v>203</v>
      </c>
    </row>
    <row r="15" customFormat="false" ht="15" hidden="false" customHeight="false" outlineLevel="0" collapsed="false">
      <c r="A15" s="36" t="s">
        <v>204</v>
      </c>
      <c r="B15" s="37" t="n">
        <f aca="false">B13+B14</f>
        <v>-22.354</v>
      </c>
      <c r="C15" s="37" t="n">
        <f aca="false">C13+C14</f>
        <v>3.705</v>
      </c>
      <c r="D15" s="37" t="n">
        <f aca="false">D13+D14</f>
        <v>2.935</v>
      </c>
      <c r="E15" s="37" t="n">
        <f aca="false">E13+E14</f>
        <v>15.195</v>
      </c>
      <c r="F15" s="37" t="n">
        <f aca="false">F13+F14</f>
        <v>-10.969171638</v>
      </c>
      <c r="G15" s="37" t="n">
        <f aca="false">G13+G14</f>
        <v>-15.1660720908</v>
      </c>
      <c r="H15" s="37" t="n">
        <f aca="false">H13+H14</f>
        <v>-15.92437569534</v>
      </c>
      <c r="I15" s="37" t="n">
        <f aca="false">I13+I14</f>
        <v>-16.6409726016303</v>
      </c>
      <c r="J15" s="37" t="n">
        <f aca="false">J13+J14</f>
        <v>-17.3066115056955</v>
      </c>
      <c r="K15" s="37" t="n">
        <f aca="false">K13+K14</f>
        <v>-17.9123429083949</v>
      </c>
    </row>
    <row r="17" customFormat="false" ht="15" hidden="false" customHeight="false" outlineLevel="0" collapsed="false">
      <c r="A17" s="17" t="s">
        <v>205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customFormat="false" ht="15" hidden="false" customHeight="false" outlineLevel="0" collapsed="false">
      <c r="A18" s="6" t="s">
        <v>89</v>
      </c>
      <c r="B18" s="26" t="n">
        <v>-0.123</v>
      </c>
      <c r="C18" s="26" t="n">
        <v>-9.901</v>
      </c>
      <c r="D18" s="26" t="n">
        <v>-5.998</v>
      </c>
      <c r="E18" s="26" t="n">
        <v>-8.483</v>
      </c>
      <c r="F18" s="25" t="n">
        <f aca="false">Assumptions!F28</f>
        <v>-14</v>
      </c>
      <c r="G18" s="25" t="n">
        <f aca="false">Assumptions!G28</f>
        <v>-5</v>
      </c>
      <c r="H18" s="25" t="n">
        <f aca="false">Assumptions!H28</f>
        <v>-5</v>
      </c>
      <c r="I18" s="25" t="n">
        <f aca="false">Assumptions!I28</f>
        <v>-5</v>
      </c>
      <c r="J18" s="25" t="n">
        <f aca="false">Assumptions!J28</f>
        <v>-5</v>
      </c>
      <c r="K18" s="25" t="n">
        <f aca="false">Assumptions!K28</f>
        <v>-5</v>
      </c>
      <c r="L18" s="3" t="s">
        <v>206</v>
      </c>
    </row>
    <row r="19" customFormat="false" ht="15" hidden="false" customHeight="false" outlineLevel="0" collapsed="false">
      <c r="A19" s="6" t="s">
        <v>207</v>
      </c>
      <c r="B19" s="26" t="n">
        <v>-14.841</v>
      </c>
      <c r="C19" s="26" t="n">
        <v>-15.025</v>
      </c>
      <c r="D19" s="26" t="n">
        <v>-15.234</v>
      </c>
      <c r="E19" s="26" t="n">
        <v>-15.421</v>
      </c>
      <c r="F19" s="25" t="n">
        <f aca="false">-Assumptions!F29</f>
        <v>-15.7</v>
      </c>
      <c r="G19" s="25" t="n">
        <f aca="false">-Assumptions!G29</f>
        <v>-16</v>
      </c>
      <c r="H19" s="25" t="n">
        <f aca="false">-Assumptions!H29</f>
        <v>-16.3</v>
      </c>
      <c r="I19" s="25" t="n">
        <f aca="false">-Assumptions!I29</f>
        <v>-16.7</v>
      </c>
      <c r="J19" s="25" t="n">
        <f aca="false">-Assumptions!J29</f>
        <v>-17</v>
      </c>
      <c r="K19" s="25" t="n">
        <f aca="false">-Assumptions!K29</f>
        <v>-17.3</v>
      </c>
    </row>
    <row r="20" customFormat="false" ht="15" hidden="false" customHeight="false" outlineLevel="0" collapsed="false">
      <c r="A20" s="6" t="s">
        <v>93</v>
      </c>
      <c r="B20" s="26" t="n">
        <v>-89.402</v>
      </c>
      <c r="C20" s="26" t="n">
        <v>-77.55</v>
      </c>
      <c r="D20" s="26" t="n">
        <v>-94.949</v>
      </c>
      <c r="E20" s="26" t="n">
        <v>-90.711</v>
      </c>
      <c r="F20" s="25" t="n">
        <f aca="false">-Assumptions!F30</f>
        <v>-88</v>
      </c>
      <c r="G20" s="25" t="n">
        <f aca="false">-Assumptions!G30</f>
        <v>-120</v>
      </c>
      <c r="H20" s="25" t="n">
        <f aca="false">-Assumptions!H30</f>
        <v>-130</v>
      </c>
      <c r="I20" s="25" t="n">
        <f aca="false">-Assumptions!I30</f>
        <v>-140</v>
      </c>
      <c r="J20" s="25" t="n">
        <f aca="false">-Assumptions!J30</f>
        <v>-145</v>
      </c>
      <c r="K20" s="25" t="n">
        <f aca="false">-Assumptions!K30</f>
        <v>-150</v>
      </c>
    </row>
    <row r="21" customFormat="false" ht="15" hidden="false" customHeight="false" outlineLevel="0" collapsed="false">
      <c r="A21" s="6" t="s">
        <v>208</v>
      </c>
      <c r="B21" s="26" t="n">
        <v>-6.383</v>
      </c>
      <c r="C21" s="26" t="n">
        <v>-6.012</v>
      </c>
      <c r="D21" s="26" t="n">
        <v>-5.802</v>
      </c>
      <c r="E21" s="26" t="n">
        <v>-6.071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3" t="s">
        <v>209</v>
      </c>
    </row>
    <row r="22" customFormat="false" ht="15" hidden="false" customHeight="false" outlineLevel="0" collapsed="false">
      <c r="A22" s="36" t="s">
        <v>210</v>
      </c>
      <c r="B22" s="37" t="n">
        <f aca="false">SUM(B18:B21)</f>
        <v>-110.749</v>
      </c>
      <c r="C22" s="37" t="n">
        <f aca="false">SUM(C18:C21)</f>
        <v>-108.488</v>
      </c>
      <c r="D22" s="37" t="n">
        <f aca="false">SUM(D18:D21)</f>
        <v>-121.983</v>
      </c>
      <c r="E22" s="37" t="n">
        <f aca="false">SUM(E18:E21)</f>
        <v>-120.686</v>
      </c>
      <c r="F22" s="37" t="n">
        <f aca="false">SUM(F18:F21)</f>
        <v>-117.7</v>
      </c>
      <c r="G22" s="37" t="n">
        <f aca="false">SUM(G18:G21)</f>
        <v>-141</v>
      </c>
      <c r="H22" s="37" t="n">
        <f aca="false">SUM(H18:H21)</f>
        <v>-151.3</v>
      </c>
      <c r="I22" s="37" t="n">
        <f aca="false">SUM(I18:I21)</f>
        <v>-161.7</v>
      </c>
      <c r="J22" s="37" t="n">
        <f aca="false">SUM(J18:J21)</f>
        <v>-167</v>
      </c>
      <c r="K22" s="37" t="n">
        <f aca="false">SUM(K18:K21)</f>
        <v>-172.3</v>
      </c>
    </row>
    <row r="24" customFormat="false" ht="15" hidden="false" customHeight="false" outlineLevel="0" collapsed="false">
      <c r="A24" s="5" t="s">
        <v>211</v>
      </c>
      <c r="B24" s="31" t="n">
        <f aca="false">B10+B15+B22</f>
        <v>-10.952</v>
      </c>
      <c r="C24" s="31" t="n">
        <f aca="false">C10+C15+C22</f>
        <v>5.76000000000003</v>
      </c>
      <c r="D24" s="31" t="n">
        <f aca="false">D10+D15+D22</f>
        <v>-0.793999999999969</v>
      </c>
      <c r="E24" s="31" t="n">
        <f aca="false">E10+E15+E22</f>
        <v>5.99100000000003</v>
      </c>
      <c r="F24" s="31" t="n">
        <f aca="false">F10+F15+F22</f>
        <v>36.3847309515759</v>
      </c>
      <c r="G24" s="31" t="n">
        <f aca="false">G10+G15+G22</f>
        <v>9.7449161317596</v>
      </c>
      <c r="H24" s="31" t="n">
        <f aca="false">H10+H15+H22</f>
        <v>7.48719660394195</v>
      </c>
      <c r="I24" s="31" t="n">
        <f aca="false">I10+I15+I22</f>
        <v>5.0675283564654</v>
      </c>
      <c r="J24" s="31" t="n">
        <f aca="false">J10+J15+J22</f>
        <v>7.30337278528793</v>
      </c>
      <c r="K24" s="31" t="n">
        <f aca="false">K10+K15+K22</f>
        <v>8.99609516930087</v>
      </c>
      <c r="L24" s="3" t="s">
        <v>212</v>
      </c>
    </row>
    <row r="25" customFormat="false" ht="15" hidden="false" customHeight="false" outlineLevel="0" collapsed="false">
      <c r="A25" s="6" t="s">
        <v>213</v>
      </c>
      <c r="F25" s="25" t="n">
        <f aca="false">'Balance Sheet'!E6</f>
        <v>132.42</v>
      </c>
      <c r="G25" s="35" t="n">
        <f aca="false">F26</f>
        <v>168.804730951576</v>
      </c>
      <c r="H25" s="35" t="n">
        <f aca="false">G26</f>
        <v>178.549647083336</v>
      </c>
      <c r="I25" s="35" t="n">
        <f aca="false">H26</f>
        <v>186.036843687278</v>
      </c>
      <c r="J25" s="35" t="n">
        <f aca="false">I26</f>
        <v>191.104372043743</v>
      </c>
      <c r="K25" s="35" t="n">
        <f aca="false">J26</f>
        <v>198.407744829031</v>
      </c>
      <c r="L25" s="3" t="s">
        <v>214</v>
      </c>
    </row>
    <row r="26" customFormat="false" ht="15" hidden="false" customHeight="false" outlineLevel="0" collapsed="false">
      <c r="A26" s="36" t="s">
        <v>215</v>
      </c>
      <c r="E26" s="38" t="n">
        <f aca="false">'Balance Sheet'!E6</f>
        <v>132.42</v>
      </c>
      <c r="F26" s="37" t="n">
        <f aca="false">F25+F24</f>
        <v>168.804730951576</v>
      </c>
      <c r="G26" s="37" t="n">
        <f aca="false">G25+G24</f>
        <v>178.549647083336</v>
      </c>
      <c r="H26" s="37" t="n">
        <f aca="false">H25+H24</f>
        <v>186.036843687278</v>
      </c>
      <c r="I26" s="37" t="n">
        <f aca="false">I25+I24</f>
        <v>191.104372043743</v>
      </c>
      <c r="J26" s="37" t="n">
        <f aca="false">J25+J24</f>
        <v>198.407744829031</v>
      </c>
      <c r="K26" s="37" t="n">
        <f aca="false">K25+K24</f>
        <v>207.403839998332</v>
      </c>
      <c r="L26" s="3" t="s">
        <v>216</v>
      </c>
    </row>
    <row r="28" customFormat="false" ht="15" hidden="false" customHeight="false" outlineLevel="0" collapsed="false">
      <c r="A28" s="17" t="s">
        <v>149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customFormat="false" ht="15" hidden="false" customHeight="false" outlineLevel="0" collapsed="false">
      <c r="A29" s="5" t="s">
        <v>217</v>
      </c>
      <c r="B29" s="31" t="n">
        <f aca="false">B10+B13</f>
        <v>111.443</v>
      </c>
      <c r="C29" s="31" t="n">
        <f aca="false">C10+C13</f>
        <v>99.584</v>
      </c>
      <c r="D29" s="31" t="n">
        <f aca="false">D10+D13</f>
        <v>108.807</v>
      </c>
      <c r="E29" s="31" t="n">
        <f aca="false">E10+E13</f>
        <v>98.767</v>
      </c>
      <c r="F29" s="31" t="n">
        <f aca="false">F10+F13</f>
        <v>154.084730951576</v>
      </c>
      <c r="G29" s="31" t="n">
        <f aca="false">G10+G13</f>
        <v>150.74491613176</v>
      </c>
      <c r="H29" s="31" t="n">
        <f aca="false">H10+H13</f>
        <v>158.787196603942</v>
      </c>
      <c r="I29" s="31" t="n">
        <f aca="false">I10+I13</f>
        <v>166.767528356465</v>
      </c>
      <c r="J29" s="31" t="n">
        <f aca="false">J10+J13</f>
        <v>174.303372785288</v>
      </c>
      <c r="K29" s="31" t="n">
        <f aca="false">K10+K13</f>
        <v>181.296095169301</v>
      </c>
      <c r="L29" s="3" t="s">
        <v>218</v>
      </c>
    </row>
    <row r="30" customFormat="false" ht="15" hidden="false" customHeight="false" outlineLevel="0" collapsed="false">
      <c r="A30" s="6" t="s">
        <v>219</v>
      </c>
      <c r="F30" s="42" t="n">
        <f aca="false">ROUND(F26-'Balance Sheet'!F6,3)</f>
        <v>0</v>
      </c>
      <c r="G30" s="42" t="n">
        <f aca="false">ROUND(G26-'Balance Sheet'!G6,3)</f>
        <v>0</v>
      </c>
      <c r="H30" s="42" t="n">
        <f aca="false">ROUND(H26-'Balance Sheet'!H6,3)</f>
        <v>0</v>
      </c>
      <c r="I30" s="42" t="n">
        <f aca="false">ROUND(I26-'Balance Sheet'!I6,3)</f>
        <v>0</v>
      </c>
      <c r="J30" s="42" t="n">
        <f aca="false">ROUND(J26-'Balance Sheet'!J6,3)</f>
        <v>0</v>
      </c>
      <c r="K30" s="42" t="n">
        <f aca="false">ROUND(K26-'Balance Sheet'!K6,3)</f>
        <v>0</v>
      </c>
    </row>
  </sheetData>
  <mergeCells count="2">
    <mergeCell ref="B3:E3"/>
    <mergeCell ref="G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2" t="s">
        <v>220</v>
      </c>
    </row>
    <row r="2" customFormat="false" ht="15" hidden="false" customHeight="false" outlineLevel="0" collapsed="false">
      <c r="A2" s="3" t="s">
        <v>221</v>
      </c>
    </row>
    <row r="4" customFormat="false" ht="15" hidden="false" customHeight="false" outlineLevel="0" collapsed="false">
      <c r="A4" s="4" t="s">
        <v>222</v>
      </c>
      <c r="B4" s="16" t="s">
        <v>223</v>
      </c>
      <c r="C4" s="16" t="s">
        <v>51</v>
      </c>
      <c r="D4" s="16" t="s">
        <v>52</v>
      </c>
      <c r="E4" s="16" t="s">
        <v>53</v>
      </c>
      <c r="F4" s="16" t="s">
        <v>54</v>
      </c>
      <c r="G4" s="16" t="s">
        <v>55</v>
      </c>
      <c r="H4" s="4" t="s">
        <v>224</v>
      </c>
    </row>
    <row r="5" customFormat="false" ht="15" hidden="false" customHeight="false" outlineLevel="0" collapsed="false">
      <c r="A5" s="6" t="s">
        <v>225</v>
      </c>
      <c r="C5" s="43" t="n">
        <v>1</v>
      </c>
      <c r="D5" s="43" t="n">
        <v>2</v>
      </c>
      <c r="E5" s="43" t="n">
        <v>3</v>
      </c>
      <c r="F5" s="43" t="n">
        <v>4</v>
      </c>
      <c r="G5" s="43" t="n">
        <v>5</v>
      </c>
      <c r="H5" s="3" t="s">
        <v>226</v>
      </c>
    </row>
    <row r="6" customFormat="false" ht="15" hidden="false" customHeight="false" outlineLevel="0" collapsed="false">
      <c r="A6" s="6" t="s">
        <v>123</v>
      </c>
      <c r="B6" s="25" t="n">
        <f aca="false">'Income Statement'!F5</f>
        <v>476.920506</v>
      </c>
      <c r="C6" s="25" t="n">
        <f aca="false">'Income Statement'!G5</f>
        <v>505.53573636</v>
      </c>
      <c r="D6" s="25" t="n">
        <f aca="false">'Income Statement'!H5</f>
        <v>530.812523178</v>
      </c>
      <c r="E6" s="25" t="n">
        <f aca="false">'Income Statement'!I5</f>
        <v>554.69908672101</v>
      </c>
      <c r="F6" s="25" t="n">
        <f aca="false">'Income Statement'!J5</f>
        <v>576.88705018985</v>
      </c>
      <c r="G6" s="25" t="n">
        <f aca="false">'Income Statement'!K5</f>
        <v>597.078096946495</v>
      </c>
    </row>
    <row r="7" customFormat="false" ht="15" hidden="false" customHeight="false" outlineLevel="0" collapsed="false">
      <c r="A7" s="5" t="s">
        <v>227</v>
      </c>
      <c r="B7" s="34" t="n">
        <f aca="false">'Income Statement'!F13</f>
        <v>156.906846474</v>
      </c>
      <c r="C7" s="34" t="n">
        <f aca="false">'Income Statement'!G13</f>
        <v>160.25482842612</v>
      </c>
      <c r="D7" s="34" t="n">
        <f aca="false">'Income Statement'!H13</f>
        <v>169.594601155371</v>
      </c>
      <c r="E7" s="34" t="n">
        <f aca="false">'Income Statement'!I13</f>
        <v>178.613105924165</v>
      </c>
      <c r="F7" s="34" t="n">
        <f aca="false">'Income Statement'!J13</f>
        <v>187.199847786606</v>
      </c>
      <c r="G7" s="34" t="n">
        <f aca="false">'Income Statement'!K13</f>
        <v>195.244537701504</v>
      </c>
      <c r="H7" s="3" t="s">
        <v>228</v>
      </c>
    </row>
    <row r="8" customFormat="false" ht="15" hidden="false" customHeight="false" outlineLevel="0" collapsed="false">
      <c r="A8" s="22" t="s">
        <v>139</v>
      </c>
      <c r="B8" s="24" t="n">
        <f aca="false">B7/B6</f>
        <v>0.329</v>
      </c>
      <c r="C8" s="24" t="n">
        <f aca="false">C7/C6</f>
        <v>0.317</v>
      </c>
      <c r="D8" s="24" t="n">
        <f aca="false">D7/D6</f>
        <v>0.3195</v>
      </c>
      <c r="E8" s="24" t="n">
        <f aca="false">E7/E6</f>
        <v>0.322</v>
      </c>
      <c r="F8" s="24" t="n">
        <f aca="false">F7/F6</f>
        <v>0.3245</v>
      </c>
      <c r="G8" s="24" t="n">
        <f aca="false">G7/G6</f>
        <v>0.327</v>
      </c>
    </row>
    <row r="9" customFormat="false" ht="15" hidden="false" customHeight="false" outlineLevel="0" collapsed="false">
      <c r="A9" s="6" t="s">
        <v>229</v>
      </c>
      <c r="B9" s="19" t="n">
        <f aca="false">Assumptions!F12</f>
        <v>0.176</v>
      </c>
      <c r="C9" s="19" t="n">
        <f aca="false">Assumptions!G12</f>
        <v>0.17</v>
      </c>
      <c r="D9" s="19" t="n">
        <f aca="false">Assumptions!H12</f>
        <v>0.17</v>
      </c>
      <c r="E9" s="19" t="n">
        <f aca="false">Assumptions!I12</f>
        <v>0.17</v>
      </c>
      <c r="F9" s="19" t="n">
        <f aca="false">Assumptions!J12</f>
        <v>0.17</v>
      </c>
      <c r="G9" s="19" t="n">
        <f aca="false">Assumptions!K12</f>
        <v>0.17</v>
      </c>
    </row>
    <row r="10" customFormat="false" ht="15" hidden="false" customHeight="false" outlineLevel="0" collapsed="false">
      <c r="A10" s="6" t="s">
        <v>230</v>
      </c>
      <c r="B10" s="35" t="n">
        <f aca="false">-B7*B9</f>
        <v>-27.615604979424</v>
      </c>
      <c r="C10" s="35" t="n">
        <f aca="false">-C7*C9</f>
        <v>-27.2433208324404</v>
      </c>
      <c r="D10" s="35" t="n">
        <f aca="false">-D7*D9</f>
        <v>-28.8310821964131</v>
      </c>
      <c r="E10" s="35" t="n">
        <f aca="false">-E7*E9</f>
        <v>-30.3642280071081</v>
      </c>
      <c r="F10" s="35" t="n">
        <f aca="false">-F7*F9</f>
        <v>-31.8239741237231</v>
      </c>
      <c r="G10" s="35" t="n">
        <f aca="false">-G7*G9</f>
        <v>-33.1915714092557</v>
      </c>
      <c r="H10" s="3" t="s">
        <v>231</v>
      </c>
    </row>
    <row r="11" customFormat="false" ht="15" hidden="false" customHeight="false" outlineLevel="0" collapsed="false">
      <c r="A11" s="5" t="s">
        <v>232</v>
      </c>
      <c r="B11" s="37" t="n">
        <f aca="false">B7+B10</f>
        <v>129.291241494576</v>
      </c>
      <c r="C11" s="37" t="n">
        <f aca="false">C7+C10</f>
        <v>133.01150759368</v>
      </c>
      <c r="D11" s="37" t="n">
        <f aca="false">D7+D10</f>
        <v>140.763518958958</v>
      </c>
      <c r="E11" s="37" t="n">
        <f aca="false">E7+E10</f>
        <v>148.248877917057</v>
      </c>
      <c r="F11" s="37" t="n">
        <f aca="false">F7+F10</f>
        <v>155.375873662883</v>
      </c>
      <c r="G11" s="37" t="n">
        <f aca="false">G7+G10</f>
        <v>162.052966292248</v>
      </c>
      <c r="H11" s="3" t="s">
        <v>233</v>
      </c>
    </row>
    <row r="12" customFormat="false" ht="15" hidden="false" customHeight="false" outlineLevel="0" collapsed="false">
      <c r="A12" s="6" t="s">
        <v>234</v>
      </c>
      <c r="B12" s="25" t="n">
        <f aca="false">'Cash Flow Statement'!F7</f>
        <v>13.115313915</v>
      </c>
      <c r="C12" s="25" t="n">
        <f aca="false">'Cash Flow Statement'!G7</f>
        <v>14.15500061808</v>
      </c>
      <c r="D12" s="25" t="n">
        <f aca="false">'Cash Flow Statement'!H7</f>
        <v>14.862750648984</v>
      </c>
      <c r="E12" s="25" t="n">
        <f aca="false">'Cash Flow Statement'!I7</f>
        <v>15.5315744281883</v>
      </c>
      <c r="F12" s="25" t="n">
        <f aca="false">'Cash Flow Statement'!J7</f>
        <v>16.1528374053158</v>
      </c>
      <c r="G12" s="25" t="n">
        <f aca="false">'Cash Flow Statement'!K7</f>
        <v>16.7181867145019</v>
      </c>
      <c r="H12" s="3" t="s">
        <v>235</v>
      </c>
    </row>
    <row r="13" customFormat="false" ht="15" hidden="false" customHeight="false" outlineLevel="0" collapsed="false">
      <c r="A13" s="6" t="s">
        <v>236</v>
      </c>
      <c r="B13" s="25" t="n">
        <f aca="false">'Cash Flow Statement'!F13</f>
        <v>-10.969171638</v>
      </c>
      <c r="C13" s="25" t="n">
        <f aca="false">'Cash Flow Statement'!G13</f>
        <v>-15.1660720908</v>
      </c>
      <c r="D13" s="25" t="n">
        <f aca="false">'Cash Flow Statement'!H13</f>
        <v>-15.92437569534</v>
      </c>
      <c r="E13" s="25" t="n">
        <f aca="false">'Cash Flow Statement'!I13</f>
        <v>-16.6409726016303</v>
      </c>
      <c r="F13" s="25" t="n">
        <f aca="false">'Cash Flow Statement'!J13</f>
        <v>-17.3066115056955</v>
      </c>
      <c r="G13" s="25" t="n">
        <f aca="false">'Cash Flow Statement'!K13</f>
        <v>-17.9123429083949</v>
      </c>
      <c r="H13" s="3" t="s">
        <v>237</v>
      </c>
    </row>
    <row r="14" customFormat="false" ht="15" hidden="false" customHeight="false" outlineLevel="0" collapsed="false">
      <c r="A14" s="6" t="s">
        <v>238</v>
      </c>
      <c r="B14" s="25" t="n">
        <f aca="false">'Cash Flow Statement'!F9</f>
        <v>7.59813199999999</v>
      </c>
      <c r="C14" s="25" t="n">
        <f aca="false">'Cash Flow Statement'!G9</f>
        <v>3.57840791999999</v>
      </c>
      <c r="D14" s="25" t="n">
        <f aca="false">'Cash Flow Statement'!H9</f>
        <v>3.16092699600002</v>
      </c>
      <c r="E14" s="25" t="n">
        <f aca="false">'Cash Flow Statement'!I9</f>
        <v>2.98707601121998</v>
      </c>
      <c r="F14" s="25" t="n">
        <f aca="false">'Cash Flow Statement'!J9</f>
        <v>2.77466171708882</v>
      </c>
      <c r="G14" s="25" t="n">
        <f aca="false">'Cash Flow Statement'!K9</f>
        <v>2.5249421625508</v>
      </c>
      <c r="H14" s="3" t="s">
        <v>239</v>
      </c>
    </row>
    <row r="15" customFormat="false" ht="15" hidden="false" customHeight="false" outlineLevel="0" collapsed="false">
      <c r="A15" s="5" t="s">
        <v>240</v>
      </c>
      <c r="B15" s="37" t="n">
        <f aca="false">SUM(B11:B14)</f>
        <v>139.035515771576</v>
      </c>
      <c r="C15" s="37" t="n">
        <f aca="false">SUM(C11:C14)</f>
        <v>135.57884404096</v>
      </c>
      <c r="D15" s="37" t="n">
        <f aca="false">SUM(D11:D14)</f>
        <v>142.862820908602</v>
      </c>
      <c r="E15" s="37" t="n">
        <f aca="false">SUM(E11:E14)</f>
        <v>150.126555754835</v>
      </c>
      <c r="F15" s="37" t="n">
        <f aca="false">SUM(F11:F14)</f>
        <v>156.996761279592</v>
      </c>
      <c r="G15" s="37" t="n">
        <f aca="false">SUM(G11:G14)</f>
        <v>163.383752260906</v>
      </c>
    </row>
    <row r="16" customFormat="false" ht="15" hidden="false" customHeight="false" outlineLevel="0" collapsed="false">
      <c r="A16" s="22" t="s">
        <v>125</v>
      </c>
      <c r="C16" s="24" t="n">
        <f aca="false">C15/B15-1</f>
        <v>-0.0248617895322185</v>
      </c>
      <c r="D16" s="24" t="n">
        <f aca="false">D15/C15-1</f>
        <v>0.0537250256053354</v>
      </c>
      <c r="E16" s="24" t="n">
        <f aca="false">E15/D15-1</f>
        <v>0.0508441230548025</v>
      </c>
      <c r="F16" s="24" t="n">
        <f aca="false">F15/E15-1</f>
        <v>0.0457627598942374</v>
      </c>
      <c r="G16" s="24" t="n">
        <f aca="false">G15/F15-1</f>
        <v>0.0406823104454948</v>
      </c>
    </row>
    <row r="17" customFormat="false" ht="15" hidden="false" customHeight="false" outlineLevel="0" collapsed="false">
      <c r="A17" s="22" t="s">
        <v>241</v>
      </c>
      <c r="B17" s="24" t="n">
        <f aca="false">B15/B6</f>
        <v>0.291527652978662</v>
      </c>
      <c r="C17" s="24" t="n">
        <f aca="false">C15/C6</f>
        <v>0.268188447007061</v>
      </c>
      <c r="D17" s="24" t="n">
        <f aca="false">D15/D6</f>
        <v>0.269139883990068</v>
      </c>
      <c r="E17" s="24" t="n">
        <f aca="false">E15/E6</f>
        <v>0.270645038632166</v>
      </c>
      <c r="F17" s="24" t="n">
        <f aca="false">F15/F6</f>
        <v>0.272144713991978</v>
      </c>
      <c r="G17" s="24" t="n">
        <f aca="false">G15/G6</f>
        <v>0.273638830659613</v>
      </c>
    </row>
    <row r="19" customFormat="false" ht="15" hidden="false" customHeight="false" outlineLevel="0" collapsed="false">
      <c r="A19" s="22" t="s">
        <v>242</v>
      </c>
      <c r="B19" s="44" t="n">
        <f aca="false">'Cash Flow Statement'!F8</f>
        <v>14.30761518</v>
      </c>
      <c r="C19" s="44" t="n">
        <f aca="false">'Cash Flow Statement'!G8</f>
        <v>15.1660720908</v>
      </c>
      <c r="D19" s="44" t="n">
        <f aca="false">'Cash Flow Statement'!H8</f>
        <v>15.92437569534</v>
      </c>
      <c r="E19" s="44" t="n">
        <f aca="false">'Cash Flow Statement'!I8</f>
        <v>16.6409726016303</v>
      </c>
      <c r="F19" s="44" t="n">
        <f aca="false">'Cash Flow Statement'!J8</f>
        <v>17.3066115056955</v>
      </c>
      <c r="G19" s="44" t="n">
        <f aca="false">'Cash Flow Statement'!K8</f>
        <v>17.9123429083949</v>
      </c>
      <c r="H19" s="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2" t="s">
        <v>244</v>
      </c>
    </row>
    <row r="2" customFormat="false" ht="15" hidden="false" customHeight="false" outlineLevel="0" collapsed="false">
      <c r="A2" s="3" t="s">
        <v>245</v>
      </c>
    </row>
    <row r="4" customFormat="false" ht="15" hidden="false" customHeight="false" outlineLevel="0" collapsed="false">
      <c r="A4" s="5" t="s">
        <v>17</v>
      </c>
      <c r="B4" s="32" t="n">
        <f aca="false">WACC!B24</f>
        <v>0.0958765433193507</v>
      </c>
    </row>
    <row r="5" customFormat="false" ht="15" hidden="false" customHeight="false" outlineLevel="0" collapsed="false">
      <c r="A5" s="5" t="s">
        <v>119</v>
      </c>
      <c r="B5" s="19" t="n">
        <f aca="false">Assumptions!B47</f>
        <v>0.03</v>
      </c>
    </row>
    <row r="7" customFormat="false" ht="15" hidden="false" customHeight="false" outlineLevel="0" collapsed="false">
      <c r="A7" s="4" t="s">
        <v>222</v>
      </c>
      <c r="B7" s="45"/>
      <c r="C7" s="16" t="s">
        <v>51</v>
      </c>
      <c r="D7" s="16" t="s">
        <v>52</v>
      </c>
      <c r="E7" s="16" t="s">
        <v>53</v>
      </c>
      <c r="F7" s="16" t="s">
        <v>54</v>
      </c>
      <c r="G7" s="16" t="s">
        <v>55</v>
      </c>
      <c r="H7" s="4" t="s">
        <v>246</v>
      </c>
    </row>
    <row r="8" customFormat="false" ht="15" hidden="false" customHeight="false" outlineLevel="0" collapsed="false">
      <c r="A8" s="6" t="s">
        <v>247</v>
      </c>
      <c r="C8" s="46" t="n">
        <f aca="false">UFCF!C5</f>
        <v>1</v>
      </c>
      <c r="D8" s="46" t="n">
        <f aca="false">UFCF!D5</f>
        <v>2</v>
      </c>
      <c r="E8" s="46" t="n">
        <f aca="false">UFCF!E5</f>
        <v>3</v>
      </c>
      <c r="F8" s="46" t="n">
        <f aca="false">UFCF!F5</f>
        <v>4</v>
      </c>
      <c r="G8" s="46" t="n">
        <f aca="false">UFCF!G5</f>
        <v>5</v>
      </c>
    </row>
    <row r="9" customFormat="false" ht="15" hidden="false" customHeight="false" outlineLevel="0" collapsed="false">
      <c r="A9" s="5" t="s">
        <v>13</v>
      </c>
      <c r="C9" s="34" t="n">
        <f aca="false">UFCF!C15</f>
        <v>135.57884404096</v>
      </c>
      <c r="D9" s="34" t="n">
        <f aca="false">UFCF!D15</f>
        <v>142.862820908602</v>
      </c>
      <c r="E9" s="34" t="n">
        <f aca="false">UFCF!E15</f>
        <v>150.126555754835</v>
      </c>
      <c r="F9" s="34" t="n">
        <f aca="false">UFCF!F15</f>
        <v>156.996761279592</v>
      </c>
      <c r="G9" s="34" t="n">
        <f aca="false">UFCF!G15</f>
        <v>163.383752260906</v>
      </c>
    </row>
    <row r="10" customFormat="false" ht="15" hidden="false" customHeight="false" outlineLevel="0" collapsed="false">
      <c r="A10" s="6" t="s">
        <v>248</v>
      </c>
      <c r="C10" s="47" t="n">
        <f aca="false">1/(1+$B$4)^C8</f>
        <v>0.912511547122867</v>
      </c>
      <c r="D10" s="47" t="n">
        <f aca="false">1/(1+$B$4)^D8</f>
        <v>0.832677323632568</v>
      </c>
      <c r="E10" s="47" t="n">
        <f aca="false">1/(1+$B$4)^E8</f>
        <v>0.759827672842082</v>
      </c>
      <c r="F10" s="47" t="n">
        <f aca="false">1/(1+$B$4)^F8</f>
        <v>0.693351525291896</v>
      </c>
      <c r="G10" s="47" t="n">
        <f aca="false">1/(1+$B$4)^G8</f>
        <v>0.632691273044108</v>
      </c>
      <c r="H10" s="3" t="s">
        <v>249</v>
      </c>
    </row>
    <row r="11" customFormat="false" ht="15" hidden="false" customHeight="false" outlineLevel="0" collapsed="false">
      <c r="A11" s="5" t="s">
        <v>250</v>
      </c>
      <c r="C11" s="31" t="n">
        <f aca="false">C9*C10</f>
        <v>123.717260732946</v>
      </c>
      <c r="D11" s="31" t="n">
        <f aca="false">D9*D10</f>
        <v>118.958631360774</v>
      </c>
      <c r="E11" s="31" t="n">
        <f aca="false">E9*E10</f>
        <v>114.070311490993</v>
      </c>
      <c r="F11" s="31" t="n">
        <f aca="false">F9*F10</f>
        <v>108.853943899093</v>
      </c>
      <c r="G11" s="31" t="n">
        <f aca="false">G9*G10</f>
        <v>103.371474212676</v>
      </c>
      <c r="H11" s="3" t="s">
        <v>251</v>
      </c>
    </row>
    <row r="13" customFormat="false" ht="15" hidden="false" customHeight="false" outlineLevel="0" collapsed="false">
      <c r="A13" s="5" t="s">
        <v>252</v>
      </c>
      <c r="B13" s="31" t="n">
        <f aca="false">SUM(C11:G11)</f>
        <v>568.971621696482</v>
      </c>
    </row>
    <row r="15" customFormat="false" ht="15" hidden="false" customHeight="false" outlineLevel="0" collapsed="false">
      <c r="A15" s="17" t="s">
        <v>253</v>
      </c>
      <c r="B15" s="18"/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6" t="s">
        <v>254</v>
      </c>
      <c r="B16" s="35" t="n">
        <f aca="false">G9</f>
        <v>163.383752260906</v>
      </c>
    </row>
    <row r="17" customFormat="false" ht="15" hidden="false" customHeight="false" outlineLevel="0" collapsed="false">
      <c r="A17" s="5" t="s">
        <v>255</v>
      </c>
      <c r="B17" s="31" t="n">
        <f aca="false">B16*(1+B5)/(B4-B5)</f>
        <v>2554.55517775021</v>
      </c>
      <c r="H17" s="3" t="s">
        <v>256</v>
      </c>
    </row>
    <row r="18" customFormat="false" ht="15" hidden="false" customHeight="false" outlineLevel="0" collapsed="false">
      <c r="A18" s="6" t="s">
        <v>257</v>
      </c>
      <c r="B18" s="47" t="n">
        <f aca="false">G10</f>
        <v>0.632691273044108</v>
      </c>
    </row>
    <row r="19" customFormat="false" ht="15" hidden="false" customHeight="false" outlineLevel="0" collapsed="false">
      <c r="A19" s="5" t="s">
        <v>258</v>
      </c>
      <c r="B19" s="31" t="n">
        <f aca="false">B17*B18</f>
        <v>1616.2447674722</v>
      </c>
      <c r="H19" s="3" t="s">
        <v>259</v>
      </c>
    </row>
    <row r="21" customFormat="false" ht="15" hidden="false" customHeight="false" outlineLevel="0" collapsed="false">
      <c r="A21" s="17" t="s">
        <v>260</v>
      </c>
      <c r="B21" s="18"/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A22" s="5" t="s">
        <v>261</v>
      </c>
      <c r="B22" s="31" t="n">
        <f aca="false">B13+B19</f>
        <v>2185.21638916868</v>
      </c>
      <c r="H22" s="3" t="s">
        <v>262</v>
      </c>
    </row>
    <row r="23" customFormat="false" ht="15" hidden="false" customHeight="false" outlineLevel="0" collapsed="false">
      <c r="A23" s="6" t="s">
        <v>263</v>
      </c>
      <c r="B23" s="27" t="n">
        <f aca="false">B19/B22</f>
        <v>0.739626874246108</v>
      </c>
    </row>
    <row r="24" customFormat="false" ht="15" hidden="false" customHeight="false" outlineLevel="0" collapsed="false">
      <c r="A24" s="6" t="s">
        <v>264</v>
      </c>
      <c r="B24" s="25" t="n">
        <f aca="false">Assumptions!B40</f>
        <v>146.517</v>
      </c>
      <c r="H24" s="3" t="s">
        <v>265</v>
      </c>
    </row>
    <row r="25" customFormat="false" ht="15" hidden="false" customHeight="false" outlineLevel="0" collapsed="false">
      <c r="A25" s="6" t="s">
        <v>266</v>
      </c>
      <c r="B25" s="25" t="n">
        <f aca="false">-Assumptions!B44</f>
        <v>-84.344</v>
      </c>
    </row>
    <row r="26" customFormat="false" ht="15" hidden="false" customHeight="false" outlineLevel="0" collapsed="false">
      <c r="A26" s="5" t="s">
        <v>267</v>
      </c>
      <c r="B26" s="31" t="n">
        <f aca="false">B22+B24+B25</f>
        <v>2247.38938916868</v>
      </c>
      <c r="H26" s="3" t="s">
        <v>268</v>
      </c>
    </row>
    <row r="27" customFormat="false" ht="15" hidden="false" customHeight="false" outlineLevel="0" collapsed="false">
      <c r="A27" s="6" t="s">
        <v>269</v>
      </c>
      <c r="B27" s="48" t="n">
        <f aca="false">Assumptions!B36</f>
        <v>14.667529</v>
      </c>
    </row>
    <row r="28" customFormat="false" ht="15" hidden="false" customHeight="false" outlineLevel="0" collapsed="false">
      <c r="A28" s="5" t="s">
        <v>270</v>
      </c>
      <c r="B28" s="49" t="n">
        <f aca="false">B26/B27</f>
        <v>153.222085953856</v>
      </c>
      <c r="H28" s="3" t="s">
        <v>271</v>
      </c>
    </row>
    <row r="29" customFormat="false" ht="15" hidden="false" customHeight="false" outlineLevel="0" collapsed="false">
      <c r="A29" s="6" t="s">
        <v>96</v>
      </c>
      <c r="B29" s="50" t="n">
        <f aca="false">Assumptions!B33</f>
        <v>336.13</v>
      </c>
    </row>
    <row r="30" customFormat="false" ht="15" hidden="false" customHeight="false" outlineLevel="0" collapsed="false">
      <c r="A30" s="5" t="s">
        <v>272</v>
      </c>
      <c r="B30" s="51" t="n">
        <f aca="false">B28/B29-1</f>
        <v>-0.544158254384149</v>
      </c>
    </row>
    <row r="32" customFormat="false" ht="15" hidden="false" customHeight="false" outlineLevel="0" collapsed="false">
      <c r="A32" s="17" t="s">
        <v>273</v>
      </c>
      <c r="B32" s="18"/>
      <c r="C32" s="18"/>
      <c r="D32" s="18"/>
      <c r="E32" s="18"/>
      <c r="F32" s="18"/>
      <c r="G32" s="18"/>
      <c r="H32" s="18"/>
    </row>
    <row r="33" customFormat="false" ht="15" hidden="false" customHeight="false" outlineLevel="0" collapsed="false">
      <c r="A33" s="6" t="s">
        <v>274</v>
      </c>
      <c r="B33" s="52" t="n">
        <f aca="false">B17/'Income Statement'!K24</f>
        <v>12.0519076398383</v>
      </c>
      <c r="H33" s="3" t="s">
        <v>275</v>
      </c>
    </row>
    <row r="34" customFormat="false" ht="15" hidden="false" customHeight="false" outlineLevel="0" collapsed="false">
      <c r="A34" s="6" t="s">
        <v>276</v>
      </c>
      <c r="B34" s="52" t="n">
        <f aca="false">B22/'Income Statement'!F24</f>
        <v>12.8525386583081</v>
      </c>
    </row>
    <row r="35" customFormat="false" ht="15" hidden="false" customHeight="false" outlineLevel="0" collapsed="false">
      <c r="A35" s="6" t="s">
        <v>277</v>
      </c>
      <c r="B35" s="25" t="n">
        <f aca="false">B29*B27-Assumptions!B45</f>
        <v>4868.02352277</v>
      </c>
      <c r="H35" s="3" t="s">
        <v>278</v>
      </c>
    </row>
    <row r="36" customFormat="false" ht="15" hidden="false" customHeight="false" outlineLevel="0" collapsed="false">
      <c r="A36" s="6" t="s">
        <v>279</v>
      </c>
      <c r="B36" s="52" t="n">
        <f aca="false">B35/'Income Statement'!F24</f>
        <v>28.631700195035</v>
      </c>
    </row>
    <row r="37" customFormat="false" ht="15" hidden="false" customHeight="false" outlineLevel="0" collapsed="false">
      <c r="A37" s="5" t="s">
        <v>280</v>
      </c>
      <c r="B37" s="53" t="n">
        <f aca="false">((B35-B13)/B18*B4-B16)/((B35-B13)/B18+B16)</f>
        <v>0.0701447215064048</v>
      </c>
      <c r="H37" s="3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2" t="s">
        <v>282</v>
      </c>
    </row>
    <row r="2" customFormat="false" ht="15" hidden="false" customHeight="false" outlineLevel="0" collapsed="false">
      <c r="A2" s="3" t="s">
        <v>283</v>
      </c>
    </row>
    <row r="3" customFormat="false" ht="15" hidden="false" customHeight="false" outlineLevel="0" collapsed="false">
      <c r="A3" s="4" t="s">
        <v>284</v>
      </c>
      <c r="B3" s="16" t="s">
        <v>285</v>
      </c>
      <c r="C3" s="4" t="s">
        <v>286</v>
      </c>
    </row>
    <row r="4" customFormat="false" ht="15" hidden="false" customHeight="false" outlineLevel="0" collapsed="false">
      <c r="A4" s="17" t="s">
        <v>287</v>
      </c>
      <c r="B4" s="18"/>
      <c r="C4" s="18"/>
    </row>
    <row r="5" customFormat="false" ht="15" hidden="false" customHeight="false" outlineLevel="0" collapsed="false">
      <c r="A5" s="6" t="s">
        <v>288</v>
      </c>
      <c r="B5" s="54" t="n">
        <v>0.05</v>
      </c>
      <c r="C5" s="3" t="s">
        <v>289</v>
      </c>
    </row>
    <row r="6" customFormat="false" ht="15" hidden="false" customHeight="false" outlineLevel="0" collapsed="false">
      <c r="A6" s="6" t="s">
        <v>290</v>
      </c>
      <c r="B6" s="55" t="n">
        <v>1.1</v>
      </c>
      <c r="C6" s="3" t="s">
        <v>291</v>
      </c>
    </row>
    <row r="7" customFormat="false" ht="15" hidden="false" customHeight="false" outlineLevel="0" collapsed="false">
      <c r="A7" s="6" t="s">
        <v>292</v>
      </c>
      <c r="B7" s="54" t="n">
        <v>0.0425</v>
      </c>
      <c r="C7" s="3" t="s">
        <v>293</v>
      </c>
    </row>
    <row r="8" customFormat="false" ht="15" hidden="false" customHeight="false" outlineLevel="0" collapsed="false">
      <c r="A8" s="5" t="s">
        <v>294</v>
      </c>
      <c r="B8" s="53" t="n">
        <f aca="false">B5+B6*B7</f>
        <v>0.09675</v>
      </c>
      <c r="C8" s="3" t="s">
        <v>295</v>
      </c>
    </row>
    <row r="10" customFormat="false" ht="15" hidden="false" customHeight="false" outlineLevel="0" collapsed="false">
      <c r="A10" s="17" t="s">
        <v>296</v>
      </c>
      <c r="B10" s="18"/>
      <c r="C10" s="18"/>
    </row>
    <row r="11" customFormat="false" ht="15" hidden="false" customHeight="false" outlineLevel="0" collapsed="false">
      <c r="A11" s="6" t="s">
        <v>297</v>
      </c>
      <c r="B11" s="56" t="n">
        <v>0.004</v>
      </c>
      <c r="C11" s="3" t="s">
        <v>298</v>
      </c>
    </row>
    <row r="12" customFormat="false" ht="15" hidden="false" customHeight="false" outlineLevel="0" collapsed="false">
      <c r="A12" s="6" t="s">
        <v>299</v>
      </c>
      <c r="B12" s="57" t="n">
        <f aca="false">B5+B11</f>
        <v>0.054</v>
      </c>
      <c r="C12" s="3" t="s">
        <v>300</v>
      </c>
    </row>
    <row r="13" customFormat="false" ht="15" hidden="false" customHeight="false" outlineLevel="0" collapsed="false">
      <c r="A13" s="6" t="s">
        <v>229</v>
      </c>
      <c r="B13" s="32" t="n">
        <f aca="false">Assumptions!K12</f>
        <v>0.17</v>
      </c>
      <c r="C13" s="3" t="s">
        <v>301</v>
      </c>
    </row>
    <row r="14" customFormat="false" ht="15" hidden="false" customHeight="false" outlineLevel="0" collapsed="false">
      <c r="A14" s="5" t="s">
        <v>302</v>
      </c>
      <c r="B14" s="53" t="n">
        <f aca="false">B12*(1-B13)</f>
        <v>0.04482</v>
      </c>
      <c r="C14" s="3" t="s">
        <v>303</v>
      </c>
    </row>
    <row r="16" customFormat="false" ht="15" hidden="false" customHeight="false" outlineLevel="0" collapsed="false">
      <c r="A16" s="17" t="s">
        <v>304</v>
      </c>
      <c r="B16" s="18"/>
      <c r="C16" s="18"/>
    </row>
    <row r="17" customFormat="false" ht="15" hidden="false" customHeight="false" outlineLevel="0" collapsed="false">
      <c r="A17" s="6" t="s">
        <v>305</v>
      </c>
      <c r="B17" s="50" t="n">
        <f aca="false">Assumptions!B33</f>
        <v>336.13</v>
      </c>
      <c r="C17" s="3"/>
    </row>
    <row r="18" customFormat="false" ht="15" hidden="false" customHeight="false" outlineLevel="0" collapsed="false">
      <c r="A18" s="6" t="s">
        <v>269</v>
      </c>
      <c r="B18" s="48" t="n">
        <f aca="false">Assumptions!B36</f>
        <v>14.667529</v>
      </c>
      <c r="C18" s="3"/>
    </row>
    <row r="19" customFormat="false" ht="15" hidden="false" customHeight="false" outlineLevel="0" collapsed="false">
      <c r="A19" s="6" t="s">
        <v>306</v>
      </c>
      <c r="B19" s="35" t="n">
        <f aca="false">B17*B18</f>
        <v>4930.19652277</v>
      </c>
      <c r="C19" s="3" t="s">
        <v>307</v>
      </c>
    </row>
    <row r="20" customFormat="false" ht="15" hidden="false" customHeight="false" outlineLevel="0" collapsed="false">
      <c r="A20" s="6" t="s">
        <v>308</v>
      </c>
      <c r="B20" s="25" t="n">
        <f aca="false">Assumptions!B44</f>
        <v>84.344</v>
      </c>
      <c r="C20" s="3" t="s">
        <v>309</v>
      </c>
    </row>
    <row r="21" customFormat="false" ht="15" hidden="false" customHeight="false" outlineLevel="0" collapsed="false">
      <c r="A21" s="6" t="s">
        <v>310</v>
      </c>
      <c r="B21" s="35" t="n">
        <f aca="false">B19+B20</f>
        <v>5014.54052277</v>
      </c>
      <c r="C21" s="3"/>
    </row>
    <row r="22" customFormat="false" ht="15" hidden="false" customHeight="false" outlineLevel="0" collapsed="false">
      <c r="A22" s="6" t="s">
        <v>311</v>
      </c>
      <c r="B22" s="27" t="n">
        <f aca="false">B19/B21</f>
        <v>0.983180113987112</v>
      </c>
      <c r="C22" s="3"/>
    </row>
    <row r="23" customFormat="false" ht="15" hidden="false" customHeight="false" outlineLevel="0" collapsed="false">
      <c r="A23" s="6" t="s">
        <v>312</v>
      </c>
      <c r="B23" s="27" t="n">
        <f aca="false">B20/B21</f>
        <v>0.0168198860128882</v>
      </c>
      <c r="C23" s="3" t="s">
        <v>313</v>
      </c>
    </row>
    <row r="24" customFormat="false" ht="15" hidden="false" customHeight="false" outlineLevel="0" collapsed="false">
      <c r="A24" s="5" t="s">
        <v>17</v>
      </c>
      <c r="B24" s="58" t="n">
        <f aca="false">B22*B8+B23*B14</f>
        <v>0.0958765433193507</v>
      </c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2" t="s">
        <v>314</v>
      </c>
    </row>
    <row r="2" customFormat="false" ht="15" hidden="false" customHeight="false" outlineLevel="0" collapsed="false">
      <c r="A2" s="3" t="s">
        <v>315</v>
      </c>
    </row>
    <row r="4" customFormat="false" ht="15" hidden="false" customHeight="false" outlineLevel="0" collapsed="false">
      <c r="B4" s="59" t="s">
        <v>316</v>
      </c>
      <c r="C4" s="60" t="s">
        <v>317</v>
      </c>
      <c r="D4" s="60"/>
      <c r="E4" s="60"/>
      <c r="F4" s="60"/>
      <c r="G4" s="60"/>
    </row>
    <row r="5" customFormat="false" ht="15" hidden="false" customHeight="false" outlineLevel="0" collapsed="false">
      <c r="A5" s="5" t="s">
        <v>318</v>
      </c>
      <c r="C5" s="61" t="n">
        <v>0.085</v>
      </c>
      <c r="D5" s="61" t="n">
        <v>0.09</v>
      </c>
      <c r="E5" s="61" t="n">
        <v>0.095</v>
      </c>
      <c r="F5" s="61" t="n">
        <v>0.1</v>
      </c>
      <c r="G5" s="61" t="n">
        <v>0.105</v>
      </c>
    </row>
    <row r="6" customFormat="false" ht="15" hidden="false" customHeight="false" outlineLevel="0" collapsed="false">
      <c r="B6" s="61" t="n">
        <v>0.02</v>
      </c>
      <c r="C6" s="62" t="n">
        <f aca="false">(UFCF!C15/(1+C$5)^1+UFCF!D15/(1+C$5)^2+UFCF!E15/(1+C$5)^3+UFCF!F15/(1+C$5)^4+UFCF!G15/(1+C$5)^5+UFCF!G15*(1+$B6)/(C$5-$B6)/(1+C$5)^5+Assumptions!$B$40-Assumptions!$B$44)/Assumptions!$B$36</f>
        <v>160.425967533094</v>
      </c>
      <c r="D6" s="62" t="n">
        <f aca="false">(UFCF!C15/(1+D$5)^1+UFCF!D15/(1+D$5)^2+UFCF!E15/(1+D$5)^3+UFCF!F15/(1+D$5)^4+UFCF!G15/(1+D$5)^5+UFCF!G15*(1+$B6)/(D$5-$B6)/(1+D$5)^5+Assumptions!$B$40-Assumptions!$B$44)/Assumptions!$B$36</f>
        <v>149.135560979956</v>
      </c>
      <c r="E6" s="62" t="n">
        <f aca="false">(UFCF!C15/(1+E$5)^1+UFCF!D15/(1+E$5)^2+UFCF!E15/(1+E$5)^3+UFCF!F15/(1+E$5)^4+UFCF!G15/(1+E$5)^5+UFCF!G15*(1+$B6)/(E$5-$B6)/(1+E$5)^5+Assumptions!$B$40-Assumptions!$B$44)/Assumptions!$B$36</f>
        <v>139.352693740976</v>
      </c>
      <c r="F6" s="62" t="n">
        <f aca="false">(UFCF!C15/(1+F$5)^1+UFCF!D15/(1+F$5)^2+UFCF!E15/(1+F$5)^3+UFCF!F15/(1+F$5)^4+UFCF!G15/(1+F$5)^5+UFCF!G15*(1+$B6)/(F$5-$B6)/(1+F$5)^5+Assumptions!$B$40-Assumptions!$B$44)/Assumptions!$B$36</f>
        <v>130.794656014805</v>
      </c>
      <c r="G6" s="62" t="n">
        <f aca="false">(UFCF!C15/(1+G$5)^1+UFCF!D15/(1+G$5)^2+UFCF!E15/(1+G$5)^3+UFCF!F15/(1+G$5)^4+UFCF!G15/(1+G$5)^5+UFCF!G15*(1+$B6)/(G$5-$B6)/(1+G$5)^5+Assumptions!$B$40-Assumptions!$B$44)/Assumptions!$B$36</f>
        <v>123.245259173676</v>
      </c>
    </row>
    <row r="7" customFormat="false" ht="15" hidden="false" customHeight="false" outlineLevel="0" collapsed="false">
      <c r="B7" s="61" t="n">
        <v>0.025</v>
      </c>
      <c r="C7" s="62" t="n">
        <f aca="false">(UFCF!C15/(1+C$5)^1+UFCF!D15/(1+C$5)^2+UFCF!E15/(1+C$5)^3+UFCF!F15/(1+C$5)^4+UFCF!G15/(1+C$5)^5+UFCF!G15*(1+$B7)/(C$5-$B7)/(1+C$5)^5+Assumptions!$B$40-Assumptions!$B$44)/Assumptions!$B$36</f>
        <v>170.730738765913</v>
      </c>
      <c r="D7" s="62" t="n">
        <f aca="false">(UFCF!C15/(1+D$5)^1+UFCF!D15/(1+D$5)^2+UFCF!E15/(1+D$5)^3+UFCF!F15/(1+D$5)^4+UFCF!G15/(1+D$5)^5+UFCF!G15*(1+$B7)/(D$5-$B7)/(1+D$5)^5+Assumptions!$B$40-Assumptions!$B$44)/Assumptions!$B$36</f>
        <v>157.807266596114</v>
      </c>
      <c r="E7" s="62" t="n">
        <f aca="false">(UFCF!C15/(1+E$5)^1+UFCF!D15/(1+E$5)^2+UFCF!E15/(1+E$5)^3+UFCF!F15/(1+E$5)^4+UFCF!G15/(1+E$5)^5+UFCF!G15*(1+$B7)/(E$5-$B7)/(1+E$5)^5+Assumptions!$B$40-Assumptions!$B$44)/Assumptions!$B$36</f>
        <v>146.731840273272</v>
      </c>
      <c r="F7" s="62" t="n">
        <f aca="false">(UFCF!C15/(1+F$5)^1+UFCF!D15/(1+F$5)^2+UFCF!E15/(1+F$5)^3+UFCF!F15/(1+F$5)^4+UFCF!G15/(1+F$5)^5+UFCF!G15*(1+$B7)/(F$5-$B7)/(1+F$5)^5+Assumptions!$B$40-Assumptions!$B$44)/Assumptions!$B$36</f>
        <v>137.134811718732</v>
      </c>
      <c r="G7" s="62" t="n">
        <f aca="false">(UFCF!C15/(1+G$5)^1+UFCF!D15/(1+G$5)^2+UFCF!E15/(1+G$5)^3+UFCF!F15/(1+G$5)^4+UFCF!G15/(1+G$5)^5+UFCF!G15*(1+$B7)/(G$5-$B7)/(1+G$5)^5+Assumptions!$B$40-Assumptions!$B$44)/Assumptions!$B$36</f>
        <v>128.738945891862</v>
      </c>
    </row>
    <row r="8" customFormat="false" ht="15" hidden="false" customHeight="false" outlineLevel="0" collapsed="false">
      <c r="B8" s="61" t="n">
        <v>0.03</v>
      </c>
      <c r="C8" s="62" t="n">
        <f aca="false">(UFCF!C15/(1+C$5)^1+UFCF!D15/(1+C$5)^2+UFCF!E15/(1+C$5)^3+UFCF!F15/(1+C$5)^4+UFCF!G15/(1+C$5)^5+UFCF!G15*(1+$B8)/(C$5-$B8)/(1+C$5)^5+Assumptions!$B$40-Assumptions!$B$44)/Assumptions!$B$36</f>
        <v>182.909104768336</v>
      </c>
      <c r="D8" s="62" t="n">
        <f aca="false">(UFCF!C15/(1+D$5)^1+UFCF!D15/(1+D$5)^2+UFCF!E15/(1+D$5)^3+UFCF!F15/(1+D$5)^4+UFCF!G15/(1+D$5)^5+UFCF!G15*(1+$B8)/(D$5-$B8)/(1+D$5)^5+Assumptions!$B$40-Assumptions!$B$44)/Assumptions!$B$36</f>
        <v>167.924256481631</v>
      </c>
      <c r="E8" s="62" t="n">
        <f aca="false">(UFCF!C15/(1+E$5)^1+UFCF!D15/(1+E$5)^2+UFCF!E15/(1+E$5)^3+UFCF!F15/(1+E$5)^4+UFCF!G15/(1+E$5)^5+UFCF!G15*(1+$B8)/(E$5-$B8)/(1+E$5)^5+Assumptions!$B$40-Assumptions!$B$44)/Assumptions!$B$36</f>
        <v>155.246240118229</v>
      </c>
      <c r="F8" s="62" t="n">
        <f aca="false">(UFCF!C15/(1+F$5)^1+UFCF!D15/(1+F$5)^2+UFCF!E15/(1+F$5)^3+UFCF!F15/(1+F$5)^4+UFCF!G15/(1+F$5)^5+UFCF!G15*(1+$B8)/(F$5-$B8)/(1+F$5)^5+Assumptions!$B$40-Assumptions!$B$44)/Assumptions!$B$36</f>
        <v>144.380703951791</v>
      </c>
      <c r="G8" s="62" t="n">
        <f aca="false">(UFCF!C15/(1+G$5)^1+UFCF!D15/(1+G$5)^2+UFCF!E15/(1+G$5)^3+UFCF!F15/(1+G$5)^4+UFCF!G15/(1+G$5)^5+UFCF!G15*(1+$B8)/(G$5-$B8)/(1+G$5)^5+Assumptions!$B$40-Assumptions!$B$44)/Assumptions!$B$36</f>
        <v>134.965124172473</v>
      </c>
    </row>
    <row r="9" customFormat="false" ht="15" hidden="false" customHeight="false" outlineLevel="0" collapsed="false">
      <c r="B9" s="61" t="n">
        <v>0.035</v>
      </c>
      <c r="C9" s="62" t="n">
        <f aca="false">(UFCF!C15/(1+C$5)^1+UFCF!D15/(1+C$5)^2+UFCF!E15/(1+C$5)^3+UFCF!F15/(1+C$5)^4+UFCF!G15/(1+C$5)^5+UFCF!G15*(1+$B9)/(C$5-$B9)/(1+C$5)^5+Assumptions!$B$40-Assumptions!$B$44)/Assumptions!$B$36</f>
        <v>197.523143971243</v>
      </c>
      <c r="D9" s="62" t="n">
        <f aca="false">(UFCF!C15/(1+D$5)^1+UFCF!D15/(1+D$5)^2+UFCF!E15/(1+D$5)^3+UFCF!F15/(1+D$5)^4+UFCF!G15/(1+D$5)^5+UFCF!G15*(1+$B9)/(D$5-$B9)/(1+D$5)^5+Assumptions!$B$40-Assumptions!$B$44)/Assumptions!$B$36</f>
        <v>179.880699073606</v>
      </c>
      <c r="E9" s="62" t="n">
        <f aca="false">(UFCF!C15/(1+E$5)^1+UFCF!D15/(1+E$5)^2+UFCF!E15/(1+E$5)^3+UFCF!F15/(1+E$5)^4+UFCF!G15/(1+E$5)^5+UFCF!G15*(1+$B9)/(E$5-$B9)/(1+E$5)^5+Assumptions!$B$40-Assumptions!$B$44)/Assumptions!$B$36</f>
        <v>165.179706604012</v>
      </c>
      <c r="F9" s="62" t="n">
        <f aca="false">(UFCF!C15/(1+F$5)^1+UFCF!D15/(1+F$5)^2+UFCF!E15/(1+F$5)^3+UFCF!F15/(1+F$5)^4+UFCF!G15/(1+F$5)^5+UFCF!G15*(1+$B9)/(F$5-$B9)/(1+F$5)^5+Assumptions!$B$40-Assumptions!$B$44)/Assumptions!$B$36</f>
        <v>152.74134883609</v>
      </c>
      <c r="G9" s="62" t="n">
        <f aca="false">(UFCF!C15/(1+G$5)^1+UFCF!D15/(1+G$5)^2+UFCF!E15/(1+G$5)^3+UFCF!F15/(1+G$5)^4+UFCF!G15/(1+G$5)^5+UFCF!G15*(1+$B9)/(G$5-$B9)/(1+G$5)^5+Assumptions!$B$40-Assumptions!$B$44)/Assumptions!$B$36</f>
        <v>142.08075649317</v>
      </c>
    </row>
    <row r="10" customFormat="false" ht="15" hidden="false" customHeight="false" outlineLevel="0" collapsed="false">
      <c r="B10" s="61" t="n">
        <v>0.04</v>
      </c>
      <c r="C10" s="62" t="n">
        <f aca="false">(UFCF!C15/(1+C$5)^1+UFCF!D15/(1+C$5)^2+UFCF!E15/(1+C$5)^3+UFCF!F15/(1+C$5)^4+UFCF!G15/(1+C$5)^5+UFCF!G15*(1+$B10)/(C$5-$B10)/(1+C$5)^5+Assumptions!$B$40-Assumptions!$B$44)/Assumptions!$B$36</f>
        <v>215.384747441462</v>
      </c>
      <c r="D10" s="62" t="n">
        <f aca="false">(UFCF!C15/(1+D$5)^1+UFCF!D15/(1+D$5)^2+UFCF!E15/(1+D$5)^3+UFCF!F15/(1+D$5)^4+UFCF!G15/(1+D$5)^5+UFCF!G15*(1+$B10)/(D$5-$B10)/(1+D$5)^5+Assumptions!$B$40-Assumptions!$B$44)/Assumptions!$B$36</f>
        <v>194.228430183976</v>
      </c>
      <c r="E10" s="62" t="n">
        <f aca="false">(UFCF!C15/(1+E$5)^1+UFCF!D15/(1+E$5)^2+UFCF!E15/(1+E$5)^3+UFCF!F15/(1+E$5)^4+UFCF!G15/(1+E$5)^5+UFCF!G15*(1+$B10)/(E$5-$B10)/(1+E$5)^5+Assumptions!$B$40-Assumptions!$B$44)/Assumptions!$B$36</f>
        <v>176.919257905392</v>
      </c>
      <c r="F10" s="62" t="n">
        <f aca="false">(UFCF!C15/(1+F$5)^1+UFCF!D15/(1+F$5)^2+UFCF!E15/(1+F$5)^3+UFCF!F15/(1+F$5)^4+UFCF!G15/(1+F$5)^5+UFCF!G15*(1+$B10)/(F$5-$B10)/(1+F$5)^5+Assumptions!$B$40-Assumptions!$B$44)/Assumptions!$B$36</f>
        <v>162.495434534438</v>
      </c>
      <c r="G10" s="62" t="n">
        <f aca="false">(UFCF!C15/(1+G$5)^1+UFCF!D15/(1+G$5)^2+UFCF!E15/(1+G$5)^3+UFCF!F15/(1+G$5)^4+UFCF!G15/(1+G$5)^5+UFCF!G15*(1+$B10)/(G$5-$B10)/(1+G$5)^5+Assumptions!$B$40-Assumptions!$B$44)/Assumptions!$B$36</f>
        <v>150.291101478591</v>
      </c>
    </row>
    <row r="12" customFormat="false" ht="15" hidden="false" customHeight="false" outlineLevel="0" collapsed="false">
      <c r="A12" s="6" t="s">
        <v>96</v>
      </c>
      <c r="B12" s="50" t="n">
        <f aca="false">Assumptions!B33</f>
        <v>336.13</v>
      </c>
    </row>
    <row r="13" customFormat="false" ht="15" hidden="false" customHeight="false" outlineLevel="0" collapsed="false">
      <c r="A13" s="6" t="s">
        <v>319</v>
      </c>
      <c r="B13" s="63" t="n">
        <f aca="false">DCF!B28</f>
        <v>153.222085953856</v>
      </c>
    </row>
    <row r="14" customFormat="false" ht="15" hidden="false" customHeight="false" outlineLevel="0" collapsed="false">
      <c r="A14" s="6" t="s">
        <v>320</v>
      </c>
      <c r="B14" s="32" t="n">
        <f aca="false">DCF!B4</f>
        <v>0.0958765433193507</v>
      </c>
      <c r="C14" s="19" t="n">
        <f aca="false">DCF!B5</f>
        <v>0.03</v>
      </c>
    </row>
    <row r="16" customFormat="false" ht="15" hidden="false" customHeight="false" outlineLevel="0" collapsed="false">
      <c r="A16" s="3" t="s">
        <v>321</v>
      </c>
    </row>
  </sheetData>
  <mergeCells count="1">
    <mergeCell ref="C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2" t="s">
        <v>322</v>
      </c>
    </row>
    <row r="2" customFormat="false" ht="15" hidden="false" customHeight="false" outlineLevel="0" collapsed="false">
      <c r="A2" s="3" t="s">
        <v>323</v>
      </c>
    </row>
    <row r="4" customFormat="false" ht="15" hidden="false" customHeight="false" outlineLevel="0" collapsed="false">
      <c r="A4" s="4" t="s">
        <v>324</v>
      </c>
      <c r="B4" s="16" t="s">
        <v>285</v>
      </c>
    </row>
    <row r="5" customFormat="false" ht="15" hidden="false" customHeight="false" outlineLevel="0" collapsed="false">
      <c r="A5" s="6" t="s">
        <v>325</v>
      </c>
      <c r="B5" s="50" t="n">
        <f aca="false">Assumptions!B33</f>
        <v>336.13</v>
      </c>
    </row>
    <row r="6" customFormat="false" ht="15" hidden="false" customHeight="false" outlineLevel="0" collapsed="false">
      <c r="A6" s="6" t="s">
        <v>326</v>
      </c>
      <c r="B6" s="25" t="n">
        <f aca="false">DCF!B22</f>
        <v>2185.21638916868</v>
      </c>
    </row>
    <row r="7" customFormat="false" ht="15" hidden="false" customHeight="false" outlineLevel="0" collapsed="false">
      <c r="A7" s="6" t="s">
        <v>327</v>
      </c>
      <c r="B7" s="25" t="n">
        <f aca="false">DCF!B26</f>
        <v>2247.38938916868</v>
      </c>
    </row>
    <row r="8" customFormat="false" ht="15" hidden="false" customHeight="false" outlineLevel="0" collapsed="false">
      <c r="A8" s="5" t="s">
        <v>328</v>
      </c>
      <c r="B8" s="64" t="n">
        <f aca="false">DCF!B28</f>
        <v>153.222085953856</v>
      </c>
    </row>
    <row r="9" customFormat="false" ht="15" hidden="false" customHeight="false" outlineLevel="0" collapsed="false">
      <c r="A9" s="5" t="s">
        <v>272</v>
      </c>
      <c r="B9" s="65" t="n">
        <f aca="false">DCF!B30</f>
        <v>-0.544158254384149</v>
      </c>
    </row>
    <row r="10" customFormat="false" ht="15" hidden="false" customHeight="false" outlineLevel="0" collapsed="false">
      <c r="A10" s="6" t="s">
        <v>17</v>
      </c>
      <c r="B10" s="32" t="n">
        <f aca="false">DCF!B4</f>
        <v>0.0958765433193507</v>
      </c>
    </row>
    <row r="11" customFormat="false" ht="15" hidden="false" customHeight="false" outlineLevel="0" collapsed="false">
      <c r="A11" s="6" t="s">
        <v>329</v>
      </c>
      <c r="B11" s="19" t="n">
        <f aca="false">DCF!B5</f>
        <v>0.03</v>
      </c>
    </row>
    <row r="13" customFormat="false" ht="15" hidden="false" customHeight="false" outlineLevel="0" collapsed="false">
      <c r="A13" s="4" t="s">
        <v>330</v>
      </c>
      <c r="B13" s="45"/>
    </row>
    <row r="14" customFormat="false" ht="15" hidden="false" customHeight="false" outlineLevel="0" collapsed="false">
      <c r="A14" s="6" t="s">
        <v>331</v>
      </c>
      <c r="B14" s="19" t="n">
        <f aca="false">('Income Statement'!K5/'Income Statement'!F5)^(1/5)-1</f>
        <v>0.0459647021471918</v>
      </c>
    </row>
    <row r="15" customFormat="false" ht="15" hidden="false" customHeight="false" outlineLevel="0" collapsed="false">
      <c r="A15" s="6" t="s">
        <v>332</v>
      </c>
      <c r="B15" s="19" t="n">
        <f aca="false">('Income Statement'!K5/'Income Statement'!E5)^(1/6)-1</f>
        <v>0.0620092357151696</v>
      </c>
    </row>
    <row r="16" customFormat="false" ht="15" hidden="false" customHeight="false" outlineLevel="0" collapsed="false">
      <c r="A16" s="6" t="s">
        <v>333</v>
      </c>
      <c r="B16" s="19" t="n">
        <f aca="false">'Income Statement'!E14</f>
        <v>0.319707997625919</v>
      </c>
    </row>
    <row r="17" customFormat="false" ht="15" hidden="false" customHeight="false" outlineLevel="0" collapsed="false">
      <c r="A17" s="6" t="s">
        <v>334</v>
      </c>
      <c r="B17" s="19" t="n">
        <f aca="false">'Income Statement'!K14</f>
        <v>0.327</v>
      </c>
    </row>
    <row r="18" customFormat="false" ht="15" hidden="false" customHeight="false" outlineLevel="0" collapsed="false">
      <c r="A18" s="6" t="s">
        <v>335</v>
      </c>
      <c r="B18" s="25" t="n">
        <f aca="false">UFCF!C15</f>
        <v>135.57884404096</v>
      </c>
    </row>
    <row r="19" customFormat="false" ht="15" hidden="false" customHeight="false" outlineLevel="0" collapsed="false">
      <c r="A19" s="6" t="s">
        <v>336</v>
      </c>
      <c r="B19" s="25" t="n">
        <f aca="false">UFCF!G15</f>
        <v>163.383752260906</v>
      </c>
    </row>
    <row r="20" customFormat="false" ht="15" hidden="false" customHeight="false" outlineLevel="0" collapsed="false">
      <c r="A20" s="6" t="s">
        <v>337</v>
      </c>
      <c r="B20" s="19" t="n">
        <f aca="false">(UFCF!G15/UFCF!C15)^(1/4)-1</f>
        <v>0.0477417136097458</v>
      </c>
    </row>
    <row r="21" customFormat="false" ht="15" hidden="false" customHeight="false" outlineLevel="0" collapsed="false">
      <c r="A21" s="6" t="s">
        <v>338</v>
      </c>
      <c r="B21" s="19" t="n">
        <f aca="false">DCF!B23</f>
        <v>0.739626874246108</v>
      </c>
    </row>
    <row r="22" customFormat="false" ht="15" hidden="false" customHeight="false" outlineLevel="0" collapsed="false">
      <c r="A22" s="6" t="s">
        <v>339</v>
      </c>
      <c r="B22" s="52" t="n">
        <f aca="false">DCF!B33</f>
        <v>12.0519076398383</v>
      </c>
    </row>
    <row r="23" customFormat="false" ht="15" hidden="false" customHeight="false" outlineLevel="0" collapsed="false">
      <c r="A23" s="6" t="s">
        <v>279</v>
      </c>
      <c r="B23" s="52" t="n">
        <f aca="false">DCF!B36</f>
        <v>28.631700195035</v>
      </c>
    </row>
    <row r="24" customFormat="false" ht="15" hidden="false" customHeight="false" outlineLevel="0" collapsed="false">
      <c r="A24" s="6" t="s">
        <v>280</v>
      </c>
      <c r="B24" s="32" t="n">
        <f aca="false">DCF!B37</f>
        <v>0.0701447215064048</v>
      </c>
    </row>
    <row r="25" customFormat="false" ht="15" hidden="false" customHeight="false" outlineLevel="0" collapsed="false">
      <c r="A25" s="6" t="s">
        <v>340</v>
      </c>
      <c r="B25" s="25" t="n">
        <f aca="false">Assumptions!B45</f>
        <v>62.173</v>
      </c>
    </row>
    <row r="26" customFormat="false" ht="15" hidden="false" customHeight="false" outlineLevel="0" collapsed="false">
      <c r="A26" s="6" t="s">
        <v>341</v>
      </c>
      <c r="B26" s="52" t="n">
        <f aca="false">Assumptions!B33/(1.85+6.88)</f>
        <v>38.5028636884307</v>
      </c>
    </row>
    <row r="27" customFormat="false" ht="15" hidden="false" customHeight="false" outlineLevel="0" collapsed="false">
      <c r="C27" s="3" t="s">
        <v>342</v>
      </c>
    </row>
    <row r="29" customFormat="false" ht="15" hidden="false" customHeight="false" outlineLevel="0" collapsed="false">
      <c r="A29" s="66" t="s">
        <v>343</v>
      </c>
    </row>
    <row r="30" customFormat="false" ht="15" hidden="false" customHeight="false" outlineLevel="0" collapsed="false">
      <c r="A30" s="6" t="s">
        <v>344</v>
      </c>
    </row>
    <row r="31" customFormat="false" ht="15" hidden="false" customHeight="false" outlineLevel="0" collapsed="false">
      <c r="A31" s="6" t="s">
        <v>345</v>
      </c>
    </row>
    <row r="32" customFormat="false" ht="15" hidden="false" customHeight="false" outlineLevel="0" collapsed="false">
      <c r="A32" s="6" t="s">
        <v>346</v>
      </c>
    </row>
    <row r="33" customFormat="false" ht="15" hidden="false" customHeight="false" outlineLevel="0" collapsed="false">
      <c r="A33" s="6" t="s">
        <v>347</v>
      </c>
    </row>
    <row r="34" customFormat="false" ht="15" hidden="false" customHeight="false" outlineLevel="0" collapsed="false">
      <c r="A34" s="6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2026-09-21T23:18:51Z</dcterms:created>
  <dc:creator>openpyxl</dc:creator>
  <dc:description/>
  <dc:language>en-US</dc:language>
  <cp:lastModifiedBy/>
  <dcterms:modified xsi:type="dcterms:W3CDTF">2026-09-21T23:18:51Z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